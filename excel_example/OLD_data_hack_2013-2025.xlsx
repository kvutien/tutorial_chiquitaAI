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vutien/Dropbox/MachuPicchu/Machu Picchu blogs/20251219 AI coding assistance/Reduced Excel example/"/>
    </mc:Choice>
  </mc:AlternateContent>
  <xr:revisionPtr revIDLastSave="0" documentId="13_ncr:1_{35AA8152-678B-D74F-AEB5-4798096FF18D}" xr6:coauthVersionLast="47" xr6:coauthVersionMax="47" xr10:uidLastSave="{00000000-0000-0000-0000-000000000000}"/>
  <bookViews>
    <workbookView xWindow="11000" yWindow="11700" windowWidth="37700" windowHeight="22620" xr2:uid="{6B9E7814-DFE1-2545-8919-A0092A6475EC}"/>
  </bookViews>
  <sheets>
    <sheet name="OLD-Data" sheetId="3" r:id="rId1"/>
    <sheet name="OLD-Stats" sheetId="2" r:id="rId2"/>
    <sheet name="OLD-KPI" sheetId="1" r:id="rId3"/>
  </sheets>
  <externalReferences>
    <externalReference r:id="rId4"/>
  </externalReferences>
  <definedNames>
    <definedName name="_xlnm._FilterDatabase" localSheetId="0" hidden="1">'OLD-Data'!$A$1:$J$922</definedName>
    <definedName name="_VAT0">#REF!</definedName>
    <definedName name="_VAT1">#REF!</definedName>
    <definedName name="Man_hours" comment="Manpower">'OLD-Data'!$J$2:$J$922</definedName>
    <definedName name="Montant" comment="Montant des dépenses TTC">'OLD-Data'!$H$2:$H$922</definedName>
    <definedName name="Prices">[1]Data!$D$2:$D$5</definedName>
    <definedName name="_xlnm.Print_Area" localSheetId="0">'OLD-Data'!$A:$J</definedName>
    <definedName name="StatsType">'OLD-Data'!$D$2:$D$922</definedName>
    <definedName name="StatsYear" comment="Year of the stats">'OLD-Data'!$B$2:$B$922</definedName>
    <definedName name="VAT">#REF!</definedName>
    <definedName name="VAT_2023">#REF!</definedName>
    <definedName name="VAT0">#REF!</definedName>
    <definedName name="VFuelVol" comment="AVGAS Volume">'OLD-Data'!$I$2:$I$443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6" i="3" l="1"/>
  <c r="B210" i="3"/>
  <c r="B245" i="3" l="1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G185" i="3" l="1"/>
  <c r="G145" i="3"/>
  <c r="H145" i="3" s="1"/>
  <c r="G118" i="3"/>
  <c r="H118" i="3" s="1"/>
  <c r="G83" i="3"/>
  <c r="H83" i="3" s="1"/>
  <c r="G244" i="3"/>
  <c r="G6" i="3"/>
  <c r="H6" i="3" s="1"/>
  <c r="G245" i="3"/>
  <c r="G148" i="3" l="1"/>
  <c r="H148" i="3" s="1"/>
  <c r="A26" i="2"/>
  <c r="G16" i="3"/>
  <c r="H16" i="3" s="1"/>
  <c r="G14" i="3"/>
  <c r="H14" i="3" s="1"/>
  <c r="G12" i="3"/>
  <c r="H12" i="3" s="1"/>
  <c r="G10" i="3"/>
  <c r="H10" i="3" s="1"/>
  <c r="G7" i="3"/>
  <c r="H7" i="3" s="1"/>
  <c r="G20" i="3"/>
  <c r="H20" i="3" s="1"/>
  <c r="G28" i="3"/>
  <c r="H28" i="3" s="1"/>
  <c r="G51" i="3"/>
  <c r="H51" i="3" s="1"/>
  <c r="G49" i="3"/>
  <c r="H49" i="3" s="1"/>
  <c r="G46" i="3"/>
  <c r="H46" i="3" s="1"/>
  <c r="G58" i="3"/>
  <c r="H58" i="3" s="1"/>
  <c r="G56" i="3"/>
  <c r="H56" i="3" s="1"/>
  <c r="G78" i="3"/>
  <c r="H78" i="3" s="1"/>
  <c r="G76" i="3"/>
  <c r="H76" i="3" s="1"/>
  <c r="G74" i="3"/>
  <c r="H74" i="3" s="1"/>
  <c r="G72" i="3"/>
  <c r="H72" i="3" s="1"/>
  <c r="G69" i="3"/>
  <c r="H69" i="3" s="1"/>
  <c r="G86" i="3"/>
  <c r="H86" i="3" s="1"/>
  <c r="G84" i="3"/>
  <c r="H84" i="3" s="1"/>
  <c r="G116" i="3"/>
  <c r="H116" i="3" s="1"/>
  <c r="G114" i="3"/>
  <c r="H114" i="3" s="1"/>
  <c r="G112" i="3"/>
  <c r="H112" i="3" s="1"/>
  <c r="E109" i="3"/>
  <c r="E126" i="3"/>
  <c r="G131" i="3"/>
  <c r="H131" i="3" s="1"/>
  <c r="G128" i="3"/>
  <c r="H128" i="3" s="1"/>
  <c r="G142" i="3"/>
  <c r="H142" i="3" s="1"/>
  <c r="G140" i="3"/>
  <c r="H140" i="3" s="1"/>
  <c r="G151" i="3"/>
  <c r="H151" i="3" s="1"/>
  <c r="G156" i="3"/>
  <c r="H156" i="3" s="1"/>
  <c r="G174" i="3"/>
  <c r="H174" i="3" s="1"/>
  <c r="G172" i="3"/>
  <c r="H172" i="3" s="1"/>
  <c r="G170" i="3"/>
  <c r="H170" i="3" s="1"/>
  <c r="G168" i="3"/>
  <c r="H168" i="3" s="1"/>
  <c r="G165" i="3"/>
  <c r="H165" i="3" s="1"/>
  <c r="E163" i="3"/>
  <c r="G178" i="3"/>
  <c r="H178" i="3" s="1"/>
  <c r="H185" i="3"/>
  <c r="E192" i="3"/>
  <c r="E193" i="3"/>
  <c r="G191" i="3"/>
  <c r="H191" i="3" s="1"/>
  <c r="G207" i="3"/>
  <c r="H207" i="3" s="1"/>
  <c r="G212" i="3"/>
  <c r="H212" i="3" s="1"/>
  <c r="G215" i="3"/>
  <c r="H215" i="3" s="1"/>
  <c r="G233" i="3"/>
  <c r="H233" i="3" s="1"/>
  <c r="G238" i="3"/>
  <c r="H238" i="3" s="1"/>
  <c r="G237" i="3"/>
  <c r="H237" i="3" s="1"/>
  <c r="G243" i="3"/>
  <c r="H243" i="3" s="1"/>
  <c r="Q8" i="2"/>
  <c r="C38" i="2"/>
  <c r="A58" i="2"/>
  <c r="A47" i="2"/>
  <c r="H242" i="3"/>
  <c r="G193" i="3" l="1"/>
  <c r="H193" i="3" s="1"/>
  <c r="E240" i="3"/>
  <c r="G240" i="3" l="1"/>
  <c r="H240" i="3" s="1"/>
  <c r="O8" i="2" l="1"/>
  <c r="G239" i="3"/>
  <c r="G236" i="3" l="1"/>
  <c r="H236" i="3" s="1"/>
  <c r="H239" i="3" l="1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A41" i="2"/>
  <c r="A43" i="2"/>
  <c r="A51" i="2"/>
  <c r="A54" i="2"/>
  <c r="A59" i="2"/>
  <c r="A60" i="2"/>
  <c r="A39" i="2"/>
  <c r="A19" i="2" l="1"/>
  <c r="A18" i="2"/>
  <c r="A14" i="2"/>
  <c r="A13" i="2"/>
  <c r="A34" i="2" l="1"/>
  <c r="A28" i="2"/>
  <c r="A29" i="2"/>
  <c r="A30" i="2"/>
  <c r="A31" i="2"/>
  <c r="A32" i="2"/>
  <c r="A33" i="2"/>
  <c r="A27" i="2"/>
  <c r="G235" i="3" l="1"/>
  <c r="H235" i="3" s="1"/>
  <c r="E232" i="3"/>
  <c r="G232" i="3" s="1"/>
  <c r="H232" i="3" s="1"/>
  <c r="E229" i="3"/>
  <c r="G229" i="3" s="1"/>
  <c r="H229" i="3" s="1"/>
  <c r="G230" i="3"/>
  <c r="H230" i="3" s="1"/>
  <c r="G231" i="3"/>
  <c r="H231" i="3" s="1"/>
  <c r="G227" i="3"/>
  <c r="H227" i="3" s="1"/>
  <c r="G228" i="3"/>
  <c r="H228" i="3" s="1"/>
  <c r="E226" i="3"/>
  <c r="G226" i="3" s="1"/>
  <c r="H226" i="3" s="1"/>
  <c r="G225" i="3"/>
  <c r="H225" i="3" s="1"/>
  <c r="G224" i="3"/>
  <c r="H224" i="3" s="1"/>
  <c r="G222" i="3"/>
  <c r="H222" i="3" s="1"/>
  <c r="G223" i="3"/>
  <c r="H223" i="3" s="1"/>
  <c r="G219" i="3"/>
  <c r="H219" i="3" s="1"/>
  <c r="G217" i="3"/>
  <c r="H217" i="3" s="1"/>
  <c r="G218" i="3"/>
  <c r="H218" i="3" s="1"/>
  <c r="G213" i="3"/>
  <c r="H213" i="3" s="1"/>
  <c r="G214" i="3"/>
  <c r="H214" i="3" s="1"/>
  <c r="G234" i="3"/>
  <c r="H234" i="3" s="1"/>
  <c r="G210" i="3" l="1"/>
  <c r="H210" i="3" s="1"/>
  <c r="G206" i="3"/>
  <c r="H206" i="3" s="1"/>
  <c r="G208" i="3"/>
  <c r="H208" i="3" s="1"/>
  <c r="G196" i="3"/>
  <c r="H196" i="3" s="1"/>
  <c r="E195" i="3"/>
  <c r="G195" i="3" s="1"/>
  <c r="H195" i="3" s="1"/>
  <c r="G194" i="3"/>
  <c r="H194" i="3" s="1"/>
  <c r="G192" i="3"/>
  <c r="H192" i="3" s="1"/>
  <c r="E167" i="3"/>
  <c r="G167" i="3" s="1"/>
  <c r="H167" i="3" s="1"/>
  <c r="G175" i="3"/>
  <c r="H175" i="3" s="1"/>
  <c r="G177" i="3"/>
  <c r="H177" i="3" s="1"/>
  <c r="G179" i="3"/>
  <c r="H179" i="3" s="1"/>
  <c r="G181" i="3"/>
  <c r="H181" i="3" s="1"/>
  <c r="G183" i="3"/>
  <c r="H183" i="3" s="1"/>
  <c r="G186" i="3"/>
  <c r="H186" i="3" s="1"/>
  <c r="G188" i="3"/>
  <c r="H188" i="3" s="1"/>
  <c r="G190" i="3"/>
  <c r="H190" i="3" s="1"/>
  <c r="G198" i="3"/>
  <c r="H198" i="3" s="1"/>
  <c r="G200" i="3"/>
  <c r="H200" i="3" s="1"/>
  <c r="G202" i="3"/>
  <c r="H202" i="3" s="1"/>
  <c r="G204" i="3"/>
  <c r="H204" i="3" s="1"/>
  <c r="G143" i="3"/>
  <c r="H143" i="3" s="1"/>
  <c r="G144" i="3"/>
  <c r="H144" i="3" s="1"/>
  <c r="G147" i="3"/>
  <c r="H147" i="3" s="1"/>
  <c r="G149" i="3"/>
  <c r="H149" i="3" s="1"/>
  <c r="G152" i="3"/>
  <c r="H152" i="3" s="1"/>
  <c r="G154" i="3"/>
  <c r="H154" i="3" s="1"/>
  <c r="G157" i="3"/>
  <c r="H157" i="3" s="1"/>
  <c r="G159" i="3"/>
  <c r="H159" i="3" s="1"/>
  <c r="G161" i="3"/>
  <c r="H161" i="3" s="1"/>
  <c r="G163" i="3"/>
  <c r="H163" i="3" s="1"/>
  <c r="G164" i="3"/>
  <c r="H164" i="3" s="1"/>
  <c r="G166" i="3"/>
  <c r="H166" i="3" s="1"/>
  <c r="G169" i="3"/>
  <c r="H169" i="3" s="1"/>
  <c r="G171" i="3"/>
  <c r="H171" i="3" s="1"/>
  <c r="G173" i="3"/>
  <c r="H173" i="3" s="1"/>
  <c r="E111" i="3"/>
  <c r="G124" i="3"/>
  <c r="H124" i="3" s="1"/>
  <c r="G126" i="3"/>
  <c r="H126" i="3" s="1"/>
  <c r="G127" i="3"/>
  <c r="H127" i="3" s="1"/>
  <c r="G129" i="3"/>
  <c r="H129" i="3" s="1"/>
  <c r="G130" i="3"/>
  <c r="H130" i="3" s="1"/>
  <c r="G132" i="3"/>
  <c r="H132" i="3" s="1"/>
  <c r="G134" i="3"/>
  <c r="H134" i="3" s="1"/>
  <c r="G136" i="3"/>
  <c r="H136" i="3" s="1"/>
  <c r="G138" i="3"/>
  <c r="H138" i="3" s="1"/>
  <c r="G139" i="3"/>
  <c r="H139" i="3" s="1"/>
  <c r="G141" i="3"/>
  <c r="H141" i="3" s="1"/>
  <c r="G62" i="3"/>
  <c r="H62" i="3" s="1"/>
  <c r="E95" i="3"/>
  <c r="G98" i="3" s="1"/>
  <c r="H98" i="3" s="1"/>
  <c r="G96" i="3"/>
  <c r="H96" i="3" s="1"/>
  <c r="G97" i="3"/>
  <c r="H97" i="3" s="1"/>
  <c r="G99" i="3"/>
  <c r="H99" i="3" s="1"/>
  <c r="G101" i="3"/>
  <c r="H101" i="3" s="1"/>
  <c r="G103" i="3"/>
  <c r="H103" i="3" s="1"/>
  <c r="G105" i="3"/>
  <c r="H105" i="3" s="1"/>
  <c r="G107" i="3"/>
  <c r="H107" i="3" s="1"/>
  <c r="G108" i="3"/>
  <c r="H108" i="3" s="1"/>
  <c r="G110" i="3"/>
  <c r="H110" i="3" s="1"/>
  <c r="G113" i="3"/>
  <c r="H113" i="3" s="1"/>
  <c r="G115" i="3"/>
  <c r="H115" i="3" s="1"/>
  <c r="G117" i="3"/>
  <c r="H117" i="3" s="1"/>
  <c r="G120" i="3"/>
  <c r="H120" i="3" s="1"/>
  <c r="G122" i="3"/>
  <c r="H122" i="3" s="1"/>
  <c r="G67" i="3"/>
  <c r="H67" i="3" s="1"/>
  <c r="G68" i="3"/>
  <c r="H68" i="3" s="1"/>
  <c r="G70" i="3"/>
  <c r="H70" i="3" s="1"/>
  <c r="G71" i="3"/>
  <c r="H71" i="3" s="1"/>
  <c r="G73" i="3"/>
  <c r="H73" i="3" s="1"/>
  <c r="G75" i="3"/>
  <c r="H75" i="3" s="1"/>
  <c r="G77" i="3"/>
  <c r="H77" i="3" s="1"/>
  <c r="G79" i="3"/>
  <c r="H79" i="3" s="1"/>
  <c r="G80" i="3"/>
  <c r="H80" i="3" s="1"/>
  <c r="G82" i="3"/>
  <c r="H82" i="3" s="1"/>
  <c r="G85" i="3"/>
  <c r="H85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57" i="3"/>
  <c r="H57" i="3" s="1"/>
  <c r="G59" i="3"/>
  <c r="H59" i="3" s="1"/>
  <c r="G60" i="3"/>
  <c r="H60" i="3" s="1"/>
  <c r="G64" i="3"/>
  <c r="H64" i="3" s="1"/>
  <c r="G66" i="3"/>
  <c r="H66" i="3" s="1"/>
  <c r="G44" i="3"/>
  <c r="E37" i="3"/>
  <c r="G37" i="3" s="1"/>
  <c r="H37" i="3" s="1"/>
  <c r="G47" i="3"/>
  <c r="H47" i="3" s="1"/>
  <c r="G48" i="3"/>
  <c r="H48" i="3" s="1"/>
  <c r="G50" i="3"/>
  <c r="H50" i="3" s="1"/>
  <c r="G52" i="3"/>
  <c r="H52" i="3" s="1"/>
  <c r="G54" i="3"/>
  <c r="H54" i="3" s="1"/>
  <c r="G55" i="3"/>
  <c r="H55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5" i="3"/>
  <c r="H45" i="3" s="1"/>
  <c r="G29" i="3"/>
  <c r="H29" i="3" s="1"/>
  <c r="G31" i="3"/>
  <c r="H31" i="3" s="1"/>
  <c r="G33" i="3"/>
  <c r="H33" i="3" s="1"/>
  <c r="G35" i="3"/>
  <c r="H35" i="3" s="1"/>
  <c r="G27" i="3"/>
  <c r="H27" i="3" s="1"/>
  <c r="G25" i="3"/>
  <c r="H25" i="3" s="1"/>
  <c r="D8" i="2"/>
  <c r="E8" i="2"/>
  <c r="F8" i="2"/>
  <c r="G8" i="2"/>
  <c r="H8" i="2"/>
  <c r="I8" i="2"/>
  <c r="J8" i="2"/>
  <c r="K8" i="2"/>
  <c r="L8" i="2"/>
  <c r="M8" i="2"/>
  <c r="N8" i="2"/>
  <c r="C8" i="2"/>
  <c r="G109" i="3" l="1"/>
  <c r="H109" i="3" s="1"/>
  <c r="G111" i="3"/>
  <c r="H111" i="3" s="1"/>
  <c r="G95" i="3"/>
  <c r="H95" i="3" s="1"/>
  <c r="H44" i="3"/>
  <c r="G23" i="3" l="1"/>
  <c r="H23" i="3" s="1"/>
  <c r="G19" i="3"/>
  <c r="H19" i="3" s="1"/>
  <c r="G21" i="3"/>
  <c r="H21" i="3" s="1"/>
  <c r="E26" i="2"/>
  <c r="G17" i="3"/>
  <c r="H17" i="3" s="1"/>
  <c r="G15" i="3"/>
  <c r="H15" i="3" s="1"/>
  <c r="G13" i="3"/>
  <c r="H13" i="3" s="1"/>
  <c r="G11" i="3"/>
  <c r="H11" i="3" s="1"/>
  <c r="G9" i="3"/>
  <c r="H9" i="3" s="1"/>
  <c r="G8" i="3"/>
  <c r="H8" i="3" s="1"/>
  <c r="G5" i="3"/>
  <c r="H5" i="3" s="1"/>
  <c r="G4" i="3"/>
  <c r="H4" i="3" s="1"/>
  <c r="G3" i="3"/>
  <c r="H3" i="3" s="1"/>
  <c r="H26" i="2" l="1"/>
  <c r="C26" i="2"/>
  <c r="D26" i="2"/>
  <c r="F26" i="2"/>
  <c r="O26" i="2"/>
  <c r="M26" i="2"/>
  <c r="N26" i="2"/>
  <c r="L26" i="2"/>
  <c r="K26" i="2"/>
  <c r="J26" i="2"/>
  <c r="I26" i="2"/>
  <c r="G26" i="2"/>
  <c r="O20" i="2"/>
  <c r="O16" i="2" s="1"/>
  <c r="O47" i="2"/>
  <c r="C39" i="2"/>
  <c r="O58" i="2"/>
  <c r="B30" i="1" s="1"/>
  <c r="I47" i="2"/>
  <c r="E41" i="2"/>
  <c r="O42" i="2" s="1"/>
  <c r="O31" i="2"/>
  <c r="E47" i="2"/>
  <c r="N47" i="2"/>
  <c r="K47" i="2"/>
  <c r="J47" i="2"/>
  <c r="H47" i="2"/>
  <c r="F47" i="2"/>
  <c r="L47" i="2"/>
  <c r="G47" i="2"/>
  <c r="C47" i="2"/>
  <c r="D47" i="2"/>
  <c r="O59" i="2"/>
  <c r="O27" i="2"/>
  <c r="O54" i="2"/>
  <c r="O51" i="2"/>
  <c r="O29" i="2"/>
  <c r="O41" i="2"/>
  <c r="O28" i="2"/>
  <c r="O14" i="2"/>
  <c r="O43" i="2"/>
  <c r="O39" i="2"/>
  <c r="O33" i="2"/>
  <c r="O34" i="2"/>
  <c r="O13" i="2"/>
  <c r="O18" i="2"/>
  <c r="O30" i="2"/>
  <c r="O32" i="2"/>
  <c r="O19" i="2"/>
  <c r="O60" i="2"/>
  <c r="K60" i="2"/>
  <c r="F54" i="2"/>
  <c r="M39" i="2"/>
  <c r="O40" i="2" s="1"/>
  <c r="K39" i="2"/>
  <c r="G43" i="2"/>
  <c r="N54" i="2"/>
  <c r="M59" i="2"/>
  <c r="I39" i="2"/>
  <c r="E60" i="2"/>
  <c r="D60" i="2"/>
  <c r="K54" i="2"/>
  <c r="I59" i="2"/>
  <c r="E54" i="2"/>
  <c r="C59" i="2"/>
  <c r="I54" i="2"/>
  <c r="E59" i="2"/>
  <c r="H59" i="2"/>
  <c r="J54" i="2"/>
  <c r="H54" i="2"/>
  <c r="D54" i="2"/>
  <c r="J59" i="2"/>
  <c r="C60" i="2"/>
  <c r="G59" i="2"/>
  <c r="K59" i="2"/>
  <c r="L54" i="2"/>
  <c r="G60" i="2"/>
  <c r="M54" i="2"/>
  <c r="N60" i="2"/>
  <c r="H60" i="2"/>
  <c r="I60" i="2"/>
  <c r="L59" i="2"/>
  <c r="F59" i="2"/>
  <c r="D59" i="2"/>
  <c r="M60" i="2"/>
  <c r="L60" i="2"/>
  <c r="J60" i="2"/>
  <c r="N59" i="2"/>
  <c r="F60" i="2"/>
  <c r="G54" i="2"/>
  <c r="E32" i="2"/>
  <c r="D39" i="2"/>
  <c r="J51" i="2"/>
  <c r="I41" i="2"/>
  <c r="F39" i="2"/>
  <c r="H39" i="2"/>
  <c r="F41" i="2"/>
  <c r="D51" i="2"/>
  <c r="J33" i="2"/>
  <c r="D43" i="2"/>
  <c r="M33" i="2"/>
  <c r="C43" i="2"/>
  <c r="D34" i="2"/>
  <c r="H32" i="2"/>
  <c r="L33" i="2"/>
  <c r="E34" i="2"/>
  <c r="H51" i="2"/>
  <c r="N32" i="2"/>
  <c r="F43" i="2"/>
  <c r="F51" i="2"/>
  <c r="E43" i="2"/>
  <c r="H34" i="2"/>
  <c r="E39" i="2"/>
  <c r="K51" i="2"/>
  <c r="N51" i="2"/>
  <c r="L32" i="2"/>
  <c r="N43" i="2"/>
  <c r="C33" i="2"/>
  <c r="M41" i="2"/>
  <c r="F33" i="2"/>
  <c r="L51" i="2"/>
  <c r="L43" i="2"/>
  <c r="G34" i="2"/>
  <c r="L41" i="2"/>
  <c r="L34" i="2"/>
  <c r="N39" i="2"/>
  <c r="L39" i="2"/>
  <c r="J43" i="2"/>
  <c r="J41" i="2"/>
  <c r="I33" i="2"/>
  <c r="J39" i="2"/>
  <c r="H33" i="2"/>
  <c r="N34" i="2"/>
  <c r="K34" i="2"/>
  <c r="I43" i="2"/>
  <c r="H41" i="2"/>
  <c r="E51" i="2"/>
  <c r="K32" i="2"/>
  <c r="I51" i="2"/>
  <c r="C54" i="2"/>
  <c r="C51" i="2"/>
  <c r="I34" i="2"/>
  <c r="J34" i="2"/>
  <c r="M34" i="2"/>
  <c r="J32" i="2"/>
  <c r="D41" i="2"/>
  <c r="M51" i="2"/>
  <c r="M43" i="2"/>
  <c r="E33" i="2"/>
  <c r="N33" i="2"/>
  <c r="K33" i="2"/>
  <c r="F34" i="2"/>
  <c r="N41" i="2"/>
  <c r="C41" i="2"/>
  <c r="K43" i="2"/>
  <c r="O45" i="2" s="1"/>
  <c r="K41" i="2"/>
  <c r="G32" i="2"/>
  <c r="D33" i="2"/>
  <c r="M32" i="2"/>
  <c r="G33" i="2"/>
  <c r="G41" i="2"/>
  <c r="F32" i="2"/>
  <c r="G51" i="2"/>
  <c r="I32" i="2"/>
  <c r="H43" i="2"/>
  <c r="G39" i="2"/>
  <c r="C34" i="2"/>
  <c r="K31" i="2"/>
  <c r="D32" i="2"/>
  <c r="F31" i="2"/>
  <c r="E31" i="2"/>
  <c r="H30" i="2"/>
  <c r="I31" i="2"/>
  <c r="C32" i="2"/>
  <c r="N31" i="2"/>
  <c r="G31" i="2"/>
  <c r="J31" i="2"/>
  <c r="M31" i="2"/>
  <c r="L31" i="2"/>
  <c r="H31" i="2"/>
  <c r="L29" i="2"/>
  <c r="L30" i="2"/>
  <c r="K30" i="2"/>
  <c r="M29" i="2"/>
  <c r="N30" i="2"/>
  <c r="G30" i="2"/>
  <c r="F30" i="2"/>
  <c r="I30" i="2"/>
  <c r="J30" i="2"/>
  <c r="D30" i="2"/>
  <c r="D31" i="2"/>
  <c r="E30" i="2"/>
  <c r="N29" i="2"/>
  <c r="C30" i="2"/>
  <c r="C31" i="2"/>
  <c r="I29" i="2"/>
  <c r="J29" i="2"/>
  <c r="K29" i="2"/>
  <c r="F29" i="2"/>
  <c r="G29" i="2"/>
  <c r="H29" i="2"/>
  <c r="J28" i="2"/>
  <c r="E29" i="2"/>
  <c r="D28" i="2"/>
  <c r="G28" i="2"/>
  <c r="K28" i="2"/>
  <c r="F28" i="2"/>
  <c r="D29" i="2"/>
  <c r="I28" i="2"/>
  <c r="H28" i="2"/>
  <c r="L28" i="2"/>
  <c r="E28" i="2"/>
  <c r="N28" i="2"/>
  <c r="M28" i="2"/>
  <c r="C28" i="2"/>
  <c r="C29" i="2"/>
  <c r="F27" i="2"/>
  <c r="E27" i="2"/>
  <c r="G27" i="2"/>
  <c r="L27" i="2"/>
  <c r="H27" i="2"/>
  <c r="M27" i="2"/>
  <c r="K27" i="2"/>
  <c r="D27" i="2"/>
  <c r="N27" i="2"/>
  <c r="I27" i="2"/>
  <c r="C27" i="2"/>
  <c r="J27" i="2"/>
  <c r="K19" i="2"/>
  <c r="N19" i="2"/>
  <c r="L19" i="2"/>
  <c r="M19" i="2"/>
  <c r="K18" i="2"/>
  <c r="M18" i="2"/>
  <c r="D19" i="2"/>
  <c r="L18" i="2"/>
  <c r="C19" i="2"/>
  <c r="J19" i="2"/>
  <c r="H19" i="2"/>
  <c r="I19" i="2"/>
  <c r="N18" i="2"/>
  <c r="G19" i="2"/>
  <c r="E19" i="2"/>
  <c r="F19" i="2"/>
  <c r="N14" i="2"/>
  <c r="J18" i="2"/>
  <c r="L14" i="2"/>
  <c r="I18" i="2"/>
  <c r="E18" i="2"/>
  <c r="F18" i="2"/>
  <c r="H18" i="2"/>
  <c r="C18" i="2"/>
  <c r="G18" i="2"/>
  <c r="D18" i="2"/>
  <c r="M14" i="2"/>
  <c r="N13" i="2"/>
  <c r="H14" i="2"/>
  <c r="F14" i="2"/>
  <c r="M13" i="2"/>
  <c r="E14" i="2"/>
  <c r="K14" i="2"/>
  <c r="J14" i="2"/>
  <c r="I14" i="2"/>
  <c r="D14" i="2"/>
  <c r="G14" i="2"/>
  <c r="C14" i="2"/>
  <c r="L13" i="2"/>
  <c r="K13" i="2"/>
  <c r="J13" i="2"/>
  <c r="I13" i="2"/>
  <c r="D13" i="2"/>
  <c r="H13" i="2"/>
  <c r="G13" i="2"/>
  <c r="F13" i="2"/>
  <c r="E13" i="2"/>
  <c r="C13" i="2"/>
  <c r="K20" i="2"/>
  <c r="K16" i="2" s="1"/>
  <c r="I20" i="2"/>
  <c r="I16" i="2" s="1"/>
  <c r="N20" i="2"/>
  <c r="N16" i="2" s="1"/>
  <c r="M20" i="2"/>
  <c r="M16" i="2" s="1"/>
  <c r="L20" i="2"/>
  <c r="L16" i="2" s="1"/>
  <c r="D20" i="2"/>
  <c r="H20" i="2"/>
  <c r="F20" i="2"/>
  <c r="E20" i="2"/>
  <c r="G20" i="2"/>
  <c r="J20" i="2"/>
  <c r="J16" i="2" s="1"/>
  <c r="C20" i="2"/>
  <c r="O25" i="2" l="1"/>
  <c r="D35" i="1"/>
  <c r="B13" i="1"/>
  <c r="D34" i="1" s="1"/>
  <c r="L52" i="2"/>
  <c r="I52" i="2"/>
  <c r="K52" i="2"/>
  <c r="G52" i="2"/>
  <c r="H52" i="2"/>
  <c r="J52" i="2"/>
  <c r="O53" i="2"/>
  <c r="B27" i="1"/>
  <c r="B10" i="1"/>
  <c r="B9" i="1"/>
  <c r="B7" i="1"/>
  <c r="B8" i="1"/>
  <c r="B12" i="1"/>
  <c r="B18" i="1"/>
  <c r="B15" i="1"/>
  <c r="B17" i="1"/>
  <c r="B28" i="1"/>
  <c r="B23" i="1"/>
  <c r="B29" i="1"/>
  <c r="B24" i="1"/>
  <c r="B14" i="1"/>
  <c r="B26" i="1"/>
  <c r="B19" i="1"/>
  <c r="B22" i="1"/>
  <c r="B20" i="1"/>
  <c r="F42" i="2"/>
  <c r="G42" i="2"/>
  <c r="N42" i="2"/>
  <c r="L42" i="2"/>
  <c r="P42" i="2"/>
  <c r="I42" i="2"/>
  <c r="J42" i="2"/>
  <c r="K42" i="2"/>
  <c r="E42" i="2"/>
  <c r="P50" i="2"/>
  <c r="S50" i="2"/>
  <c r="T50" i="2"/>
  <c r="O50" i="2"/>
  <c r="Q50" i="2"/>
  <c r="R50" i="2"/>
  <c r="H42" i="2"/>
  <c r="M42" i="2"/>
  <c r="K49" i="2"/>
  <c r="M49" i="2"/>
  <c r="L49" i="2"/>
  <c r="J49" i="2"/>
  <c r="N49" i="2"/>
  <c r="O49" i="2"/>
  <c r="F48" i="2"/>
  <c r="G48" i="2"/>
  <c r="H48" i="2"/>
  <c r="I48" i="2"/>
  <c r="D48" i="2"/>
  <c r="D38" i="2" s="1"/>
  <c r="E48" i="2"/>
  <c r="P46" i="2"/>
  <c r="Q46" i="2"/>
  <c r="R46" i="2"/>
  <c r="S46" i="2"/>
  <c r="O46" i="2"/>
  <c r="M57" i="2"/>
  <c r="L57" i="2"/>
  <c r="K57" i="2"/>
  <c r="J57" i="2"/>
  <c r="I57" i="2"/>
  <c r="H57" i="2"/>
  <c r="O12" i="2"/>
  <c r="O11" i="2" s="1"/>
  <c r="O17" i="2"/>
  <c r="O15" i="2" s="1"/>
  <c r="B16" i="2"/>
  <c r="P40" i="2"/>
  <c r="Q40" i="2"/>
  <c r="R40" i="2"/>
  <c r="S40" i="2"/>
  <c r="T40" i="2"/>
  <c r="N40" i="2"/>
  <c r="M40" i="2"/>
  <c r="H56" i="2"/>
  <c r="M56" i="2"/>
  <c r="I56" i="2"/>
  <c r="K56" i="2"/>
  <c r="J56" i="2"/>
  <c r="L56" i="2"/>
  <c r="H55" i="2"/>
  <c r="I55" i="2"/>
  <c r="J55" i="2"/>
  <c r="K55" i="2"/>
  <c r="L55" i="2"/>
  <c r="G55" i="2"/>
  <c r="P53" i="2"/>
  <c r="Q53" i="2"/>
  <c r="R53" i="2"/>
  <c r="S53" i="2"/>
  <c r="N53" i="2"/>
  <c r="P45" i="2"/>
  <c r="N45" i="2"/>
  <c r="K45" i="2"/>
  <c r="L45" i="2"/>
  <c r="M45" i="2"/>
  <c r="G44" i="2"/>
  <c r="H44" i="2"/>
  <c r="I44" i="2"/>
  <c r="J44" i="2"/>
  <c r="F44" i="2"/>
  <c r="K44" i="2"/>
  <c r="H16" i="2"/>
  <c r="L17" i="2"/>
  <c r="L15" i="2" s="1"/>
  <c r="M12" i="2"/>
  <c r="M11" i="2" s="1"/>
  <c r="I17" i="2"/>
  <c r="I15" i="2" s="1"/>
  <c r="F12" i="2"/>
  <c r="C12" i="2"/>
  <c r="C17" i="2"/>
  <c r="H25" i="2"/>
  <c r="M17" i="2"/>
  <c r="M15" i="2" s="1"/>
  <c r="D12" i="2"/>
  <c r="G25" i="2"/>
  <c r="L12" i="2"/>
  <c r="L11" i="2" s="1"/>
  <c r="E25" i="2"/>
  <c r="N17" i="2"/>
  <c r="N15" i="2" s="1"/>
  <c r="F17" i="2"/>
  <c r="K17" i="2"/>
  <c r="K15" i="2" s="1"/>
  <c r="J12" i="2"/>
  <c r="J11" i="2" s="1"/>
  <c r="D17" i="2"/>
  <c r="H17" i="2"/>
  <c r="E17" i="2"/>
  <c r="E12" i="2"/>
  <c r="G17" i="2"/>
  <c r="K25" i="2"/>
  <c r="I12" i="2"/>
  <c r="I11" i="2" s="1"/>
  <c r="J25" i="2"/>
  <c r="I25" i="2"/>
  <c r="L25" i="2"/>
  <c r="N12" i="2"/>
  <c r="N11" i="2" s="1"/>
  <c r="J17" i="2"/>
  <c r="J15" i="2" s="1"/>
  <c r="N25" i="2"/>
  <c r="N24" i="2" s="1"/>
  <c r="H12" i="2"/>
  <c r="F25" i="2"/>
  <c r="G12" i="2"/>
  <c r="D25" i="2"/>
  <c r="K12" i="2"/>
  <c r="K11" i="2" s="1"/>
  <c r="C25" i="2"/>
  <c r="E38" i="2" l="1"/>
  <c r="G38" i="2"/>
  <c r="O38" i="2"/>
  <c r="I38" i="2"/>
  <c r="J38" i="2"/>
  <c r="F38" i="2"/>
  <c r="H38" i="2"/>
  <c r="L38" i="2"/>
  <c r="K38" i="2"/>
  <c r="M38" i="2"/>
  <c r="N38" i="2"/>
  <c r="O10" i="2"/>
  <c r="B11" i="2"/>
  <c r="N10" i="2"/>
  <c r="N3" i="2" s="1"/>
  <c r="M10" i="2"/>
  <c r="B15" i="2"/>
  <c r="H15" i="2"/>
  <c r="H11" i="2"/>
  <c r="M47" i="2"/>
  <c r="B25" i="1" s="1"/>
  <c r="B37" i="2" l="1"/>
  <c r="B10" i="2"/>
  <c r="R25" i="2" s="1"/>
  <c r="M30" i="2"/>
  <c r="B16" i="1" s="1"/>
  <c r="M25" i="2" l="1"/>
  <c r="M24" i="2" l="1"/>
  <c r="M3" i="2" s="1"/>
  <c r="B24" i="2"/>
  <c r="R26" i="2" s="1"/>
  <c r="B22" i="2"/>
  <c r="B23" i="2"/>
  <c r="B3" i="2" l="1"/>
  <c r="B4" i="2"/>
  <c r="S25" i="2"/>
  <c r="S26" i="2" l="1"/>
  <c r="O24" i="2"/>
  <c r="O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Tien Khang</author>
  </authors>
  <commentList>
    <comment ref="F219" authorId="0" shapeId="0" xr:uid="{7048C939-6038-0749-BA90-62BEB7762BDE}">
      <text>
        <r>
          <rPr>
            <sz val="10"/>
            <color rgb="FF000000"/>
            <rFont val="Tahoma"/>
            <family val="2"/>
          </rPr>
          <t>VAT allemand 19%</t>
        </r>
      </text>
    </comment>
    <comment ref="D223" authorId="0" shapeId="0" xr:uid="{C63AD00E-3885-A64D-84A5-81C461C41055}">
      <text>
        <r>
          <rPr>
            <sz val="10"/>
            <color rgb="FF000000"/>
            <rFont val="Tahoma"/>
            <family val="2"/>
          </rPr>
          <t>réparation dûe à ll'nstallation GTN défectueuse par la GAM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Tien Khang</author>
  </authors>
  <commentList>
    <comment ref="M24" authorId="0" shapeId="0" xr:uid="{39D08987-C910-3844-88B2-113A57CF4200}">
      <text>
        <r>
          <rPr>
            <b/>
            <sz val="10"/>
            <color rgb="FF000000"/>
            <rFont val="Tahoma"/>
            <family val="2"/>
          </rPr>
          <t>Vu Tien Khang: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Pourquoi y a-t-il une multiplication par 7 dans cette formule?</t>
        </r>
      </text>
    </comment>
  </commentList>
</comments>
</file>

<file path=xl/sharedStrings.xml><?xml version="1.0" encoding="utf-8"?>
<sst xmlns="http://schemas.openxmlformats.org/spreadsheetml/2006/main" count="560" uniqueCount="327">
  <si>
    <t>----</t>
  </si>
  <si>
    <t>Engine OVH, TBO 12y (2014)</t>
  </si>
  <si>
    <t>Frais variables</t>
  </si>
  <si>
    <t>Date</t>
  </si>
  <si>
    <t>GAM Invoice 2013007 of 31 Jan 2013</t>
  </si>
  <si>
    <t>Engine Oil</t>
  </si>
  <si>
    <t>Maintenance: Oil analysis</t>
  </si>
  <si>
    <t>Maintenance: Filter, misc.</t>
  </si>
  <si>
    <t>Maintenance Management</t>
  </si>
  <si>
    <t>Bottle O2 change</t>
  </si>
  <si>
    <t>GTN 650</t>
  </si>
  <si>
    <t>Maintenance: Hydraulic fluid</t>
  </si>
  <si>
    <t>Invoice ALSA of 21 Jul 2015</t>
  </si>
  <si>
    <t>Redevance qualification avion 422 + RGD 2004</t>
  </si>
  <si>
    <t>Engine extension</t>
  </si>
  <si>
    <t>Maintenance: Drain valve</t>
  </si>
  <si>
    <t>CDN Renewal</t>
  </si>
  <si>
    <t>Invoice ALSA of 31 Jul 2013</t>
  </si>
  <si>
    <t>Redevances ARC</t>
  </si>
  <si>
    <t>Invoice ALSA of 6 Aug 2013</t>
  </si>
  <si>
    <t>Extension potentiel moteur</t>
  </si>
  <si>
    <t>Invoice 2013366 of 9 Mar 2014</t>
  </si>
  <si>
    <t>Var. Material: Engine oil</t>
  </si>
  <si>
    <t>Material: Misc</t>
  </si>
  <si>
    <t>Discount hangar</t>
  </si>
  <si>
    <t>Overhaul: Propellor OVH + De-ice boot</t>
  </si>
  <si>
    <t>Overhaul: Freight</t>
  </si>
  <si>
    <t>Invoice 2014409 of 1 Dec 2014</t>
  </si>
  <si>
    <t>Revision AMP (Aircraft Maintenance Programme)</t>
  </si>
  <si>
    <t>Invoice 2014285 of 24 Dec 2014</t>
  </si>
  <si>
    <t>Engine mount</t>
  </si>
  <si>
    <t>Valve</t>
  </si>
  <si>
    <t>Housing &amp; shaft oil</t>
  </si>
  <si>
    <t>Gear</t>
  </si>
  <si>
    <t>Oil cooler</t>
  </si>
  <si>
    <t>Fuel pump Assembly</t>
  </si>
  <si>
    <t>Throttle Lever</t>
  </si>
  <si>
    <t>Fitting &amp; Elbow Fuel Control unit</t>
  </si>
  <si>
    <t>Shock mounts</t>
  </si>
  <si>
    <t>Freight</t>
  </si>
  <si>
    <t>Misc</t>
  </si>
  <si>
    <t>Invoice COMAT of 26 Jun 2015</t>
  </si>
  <si>
    <t>Invoice ALSA of 15 Jul 2015</t>
  </si>
  <si>
    <t>Redevance ARC</t>
  </si>
  <si>
    <t>Redevance qualification RGD 2004 et 71c</t>
  </si>
  <si>
    <t>Material: Engine oil</t>
  </si>
  <si>
    <t>Invoice ILR radio of 16 Sep 2015</t>
  </si>
  <si>
    <t>Radio station ILR</t>
  </si>
  <si>
    <t>CDN renewal</t>
  </si>
  <si>
    <t>Invoice ALSA of 9 Dec 2015</t>
  </si>
  <si>
    <t>Invoice ALSA of 31 Dec 2015</t>
  </si>
  <si>
    <t>Invoice insurance of 21 Dec 2015</t>
  </si>
  <si>
    <t>Assurance Allianz 2016 (taxe 4%)</t>
  </si>
  <si>
    <t>Overhaul: Propeller gov OVH, freight</t>
  </si>
  <si>
    <t>Overhaul: Misc.</t>
  </si>
  <si>
    <t>Invoice insurance of 15 Dec 2016</t>
  </si>
  <si>
    <t>Assurance Allianz 2017 (taxe 4%)</t>
  </si>
  <si>
    <t>Tire &amp; misc. Parts</t>
  </si>
  <si>
    <t>Invoice ALSA of 30 Dec 2016</t>
  </si>
  <si>
    <t>Redevance ARC &amp; CDN</t>
  </si>
  <si>
    <t>Invoice ALSA of 6 Fev 2017</t>
  </si>
  <si>
    <t>Redevance qualification RGD 2004</t>
  </si>
  <si>
    <t>Global Avionics tests</t>
  </si>
  <si>
    <t>AMP (Aircraft Maintenance Process) update</t>
  </si>
  <si>
    <t>Avionics: Pre-payment GTN650</t>
  </si>
  <si>
    <t>Invoice ALSA of 30 Nov 2017</t>
  </si>
  <si>
    <t>Redevance Analyse &amp; approbation AMP</t>
  </si>
  <si>
    <t>Assurance Allianz 2018 (taxe 4%)</t>
  </si>
  <si>
    <t>Hard landing: prepayment 2</t>
  </si>
  <si>
    <t>Assurance: Ristourne</t>
  </si>
  <si>
    <t>Invoice 2021470AMP of 6 December 2021</t>
  </si>
  <si>
    <t>Invoice TNC DAC of 7 Feb 2022</t>
  </si>
  <si>
    <t>Misc var: Taxes Navigation</t>
  </si>
  <si>
    <t>Misc var: Taxes LuxAirport</t>
  </si>
  <si>
    <t>Avionics: Troubleshooring avionics ILS GTN650-NAV2</t>
  </si>
  <si>
    <t>Hangar: Octobre</t>
  </si>
  <si>
    <t>Misc. Fixed: Radeau sauvetage Lalizas, Friebe Flugbedarf</t>
  </si>
  <si>
    <t>Variable material: Huile en bidon x8</t>
  </si>
  <si>
    <t>Hébergement LX-ARA janvier à mai inclus</t>
  </si>
  <si>
    <t>Exceptional: Shipment Oxygen bottle empty</t>
  </si>
  <si>
    <t>Exceptional: Shipment Oxygen bottle full, dangerous goods</t>
  </si>
  <si>
    <t>GAM Invoice 2013085 of 19 Apr 2013</t>
  </si>
  <si>
    <t>F-Annual visit</t>
  </si>
  <si>
    <t>F-ARC &amp; CDN &amp; ILR</t>
  </si>
  <si>
    <t>F-Airworthiness dir.</t>
  </si>
  <si>
    <t>V-Visit 50h &amp; 100h</t>
  </si>
  <si>
    <t>V-AVGAS</t>
  </si>
  <si>
    <t>---</t>
  </si>
  <si>
    <t>ne pas remplir directement</t>
  </si>
  <si>
    <t>F-Refill.</t>
  </si>
  <si>
    <t>Refill O2, Hydraulics</t>
  </si>
  <si>
    <t>GAM Invoice 2013200E of 12 Jul 2013</t>
  </si>
  <si>
    <t>GAM Invoice 2013200C of 19 Jul 2013</t>
  </si>
  <si>
    <t>GAM Invoice 2014151 of 9 Jun 2014</t>
  </si>
  <si>
    <t>Deduction hangar</t>
  </si>
  <si>
    <t>GAM Invoice 2014259 of 24 Dec 2014</t>
  </si>
  <si>
    <t>Invoice Engine OVH Prepayment</t>
  </si>
  <si>
    <t>Engine OVH prepayment</t>
  </si>
  <si>
    <t>Overhaul: Minus prepayment Motor OVH</t>
  </si>
  <si>
    <t>Var. Material: 4 bottles oil</t>
  </si>
  <si>
    <t>GAM Invoice 2015156 of 30 May 2015</t>
  </si>
  <si>
    <t>Achat tracteur Schleppmax via CoMAT</t>
  </si>
  <si>
    <t>Hangar deduction 2015</t>
  </si>
  <si>
    <t>GAM Invoice 2015249C of 30 Nov 2015</t>
  </si>
  <si>
    <t>GAM Invoice 2015249 of 16 Aug 2015</t>
  </si>
  <si>
    <t>GAM Invoice 2015369 of 28 Dec 2015</t>
  </si>
  <si>
    <t>GAM Invoice 2016002 of 2 Feb 2016</t>
  </si>
  <si>
    <t>GAM Invoice 2015379A of 9 Feb 2016</t>
  </si>
  <si>
    <t>GAM Invoice 2016047 of 11 May 2016</t>
  </si>
  <si>
    <t>GAM Invoice 2016047MP of 24 May 2016</t>
  </si>
  <si>
    <t>GAM Invoice 2016126 of 1 Aug 2016</t>
  </si>
  <si>
    <t>GAM Invoice 2016126CDN of 12 Dec 2016</t>
  </si>
  <si>
    <t>GAM Invoice 2016322 of 30 Dec 2016</t>
  </si>
  <si>
    <t>GAM Invoice 2017005 of 17 Jan 2017</t>
  </si>
  <si>
    <t>GAM Invoice 2017055 of 23 Mar 2017</t>
  </si>
  <si>
    <t>Rebate hangar 2017</t>
  </si>
  <si>
    <t>GAM Invoice 2017269 of 2 Oct 2017</t>
  </si>
  <si>
    <t>GAM Invoice 2017269AMP of 13 Nov 2017</t>
  </si>
  <si>
    <t>GAM Invoice 2017337 of 28 Nov 2017</t>
  </si>
  <si>
    <t>Invoice insurance 20180109 of 9 January 2018</t>
  </si>
  <si>
    <t>GAM Invoice 2018291 of 22 Oct 2018</t>
  </si>
  <si>
    <t>Handling Split 11/10/2018</t>
  </si>
  <si>
    <t>100h &amp; annual inspection</t>
  </si>
  <si>
    <t>Compass calibrations</t>
  </si>
  <si>
    <t>GAM Invoice 2018343 of 19 February 2019</t>
  </si>
  <si>
    <t>Overhaul: 02 bottle freight</t>
  </si>
  <si>
    <t>GAM Invoice 2020093A of 16 June 2020</t>
  </si>
  <si>
    <t>Abonnement Jeppesen GTN650</t>
  </si>
  <si>
    <t>Taxes LuxAirport mai 2023</t>
  </si>
  <si>
    <t>F-Time limit-misc. structure</t>
  </si>
  <si>
    <t>F-Avionics</t>
  </si>
  <si>
    <t>Refill: O2 bottle &amp; freight</t>
  </si>
  <si>
    <t>Battery charger (x2)</t>
  </si>
  <si>
    <t>Battery (x2)</t>
  </si>
  <si>
    <t>Strobe</t>
  </si>
  <si>
    <t>Fire extinguisher</t>
  </si>
  <si>
    <t>Rod ends (x2)</t>
  </si>
  <si>
    <t>Vacuum pump</t>
  </si>
  <si>
    <t>Filters &amp; misc.</t>
  </si>
  <si>
    <t>Maintenance: Aircraft washed</t>
  </si>
  <si>
    <t>Overhaul: Motor OVH</t>
  </si>
  <si>
    <t>ELT Battery</t>
  </si>
  <si>
    <t>Approbation AMP aircraft Maintenance Programme)</t>
  </si>
  <si>
    <t>Weight &amp; Balance</t>
  </si>
  <si>
    <t>Hangar deduction 2016</t>
  </si>
  <si>
    <t>Annual: material according to enclosed list</t>
  </si>
  <si>
    <t>Maintenance: material according to enclosed list (static wick on aileron)</t>
  </si>
  <si>
    <t>Maintenance: Gasket</t>
  </si>
  <si>
    <t>Landing gear replacement</t>
  </si>
  <si>
    <t>Total fixes récurrents annuel</t>
  </si>
  <si>
    <t>Tracteur, radeau, gilets, masques O2, non amortis</t>
  </si>
  <si>
    <t>Frais fixes</t>
  </si>
  <si>
    <t>Pitot line bend under panel, repair 1,5h</t>
  </si>
  <si>
    <t>Loyer hangar Luxairport jan-mar, moins contrib. LX-ARA</t>
  </si>
  <si>
    <t>GAM Invoice 2025060 of 27 May 2025</t>
  </si>
  <si>
    <t>man-h</t>
  </si>
  <si>
    <t>Maintenance Management 3 h</t>
  </si>
  <si>
    <t>GAM Invoice 2013200 of 12 Jul 2013</t>
  </si>
  <si>
    <t>perpétuel</t>
  </si>
  <si>
    <t>GAM ARC renew &amp; redev. ILR, AMP</t>
  </si>
  <si>
    <t>Hourly rate aircraft mechanic costs 1,25</t>
  </si>
  <si>
    <t>Hourly rate aircraft mechanic costs 1 h</t>
  </si>
  <si>
    <t>Hourly rate aircraft mechanic time 1 h</t>
  </si>
  <si>
    <t>Brakes System hoses replace costs 7 h</t>
  </si>
  <si>
    <t>100h: Working hours time 13,5</t>
  </si>
  <si>
    <t>AD: Airworthiness directive on Bendix ignition switch costs 3 h + 0,25 h</t>
  </si>
  <si>
    <t>Airspeed indicator test echanic costs 1,5 h</t>
  </si>
  <si>
    <t>Cigar Lighter placard replaced time 0,25 h</t>
  </si>
  <si>
    <t>Cigar Lighter placard replace costs 0,25 h</t>
  </si>
  <si>
    <t>Avionics: Transponder test, due TLS costs 4 h</t>
  </si>
  <si>
    <t>Avionics: Transponder test, due TLS time 4 h</t>
  </si>
  <si>
    <t>Hardware: Fuel &amp; oil Hose system &amp; freight: oil, brake, fuel</t>
  </si>
  <si>
    <t>Hydraulic fluid refill</t>
  </si>
  <si>
    <t>Replace hoses, refill brakes, costs 14,5 h</t>
  </si>
  <si>
    <t>Replace hoses, refill brakes, time 14,5 h</t>
  </si>
  <si>
    <t>Annual: cable tie, CO detector, misc.</t>
  </si>
  <si>
    <t>Inspection ELT mechanic time 1 h</t>
  </si>
  <si>
    <t>Inspection ELT costs 1 h</t>
  </si>
  <si>
    <t>Approbation AMP aircraft Maintenance Program</t>
  </si>
  <si>
    <t>Maintenance: working hours according to enclosed list, repairs costs 1,5 h</t>
  </si>
  <si>
    <t>Maintenance: working hours according to enclosed list, repairs time 1,5 h</t>
  </si>
  <si>
    <t>Replace work of above mechanic costs 4,5 h</t>
  </si>
  <si>
    <t>Replace work of above mechanic time 4,5 h</t>
  </si>
  <si>
    <t>100h &amp; Annual Inspection costs 19,5 h</t>
  </si>
  <si>
    <t>100h &amp; Annual Inspection time 19,5 h</t>
  </si>
  <si>
    <t>Avionics: Pitot Static Test costs 4 h</t>
  </si>
  <si>
    <t>Avionics: Pitot Static Test time 4 h</t>
  </si>
  <si>
    <t>Avionics: Airspeed Indicator Test costs 1,5 h</t>
  </si>
  <si>
    <t>Avionics: Airspeed Indicator Test time 1,5 h</t>
  </si>
  <si>
    <t>Avionics: Compass Calibration costs 3 h</t>
  </si>
  <si>
    <t>Avionics: Compass Calibration time 3 h</t>
  </si>
  <si>
    <t>GAM Invoice 2016292 of 22 Dec 2016</t>
  </si>
  <si>
    <t>Txp &amp; nav/com troubleshooting costs 2,5 h</t>
  </si>
  <si>
    <t>Txp &amp; nav/com troubleshooting time 2,5 h</t>
  </si>
  <si>
    <t>Avionics: Transponder Tests costs 4 h</t>
  </si>
  <si>
    <t>Avionics: Transponder Tests time 4 h</t>
  </si>
  <si>
    <t>Overhaul: Install propeller costs 2 h</t>
  </si>
  <si>
    <t>Overhaul: Install propeller time 2 h</t>
  </si>
  <si>
    <t>Work: Replace filters, inpect ELT costs 7 h</t>
  </si>
  <si>
    <t>Work: Replace filters, inpect ELT time 7 h</t>
  </si>
  <si>
    <t>Annual: Airbrake, strobes, wheel bearing, 1st Aid kit costs 9,75 h</t>
  </si>
  <si>
    <t>Annual: Airbrake, strobes, wheel bearing, 1st Aid kit time 9,75 h</t>
  </si>
  <si>
    <t>19;5</t>
  </si>
  <si>
    <t>Annual: Filter, gasket, Misc</t>
  </si>
  <si>
    <t>Maintenance: Filter, hose, Misc material</t>
  </si>
  <si>
    <t>Eng (hose, replace ELT, oil change) costs 9 h</t>
  </si>
  <si>
    <t>Eng (hose, replace ELT, oil change) time 9 h</t>
  </si>
  <si>
    <t>COM2, stormscope troubleshooting costs 3,5 h</t>
  </si>
  <si>
    <t>COM2, stormscope troubleshooting time 3,5 h</t>
  </si>
  <si>
    <t>Global Avionics tests costs 3,5 h</t>
  </si>
  <si>
    <t>Global Avionics tests time 3,5 h</t>
  </si>
  <si>
    <t>Engine reinstall costs 57 h</t>
  </si>
  <si>
    <t>Engine reinstall time 57 h</t>
  </si>
  <si>
    <t>Reinstall engine mount, baffles, electricity, ducts, costs 25 h</t>
  </si>
  <si>
    <t>Reinstall engine work as above, time 25 h</t>
  </si>
  <si>
    <t>Annual: Replace filters, ELT, Fire ext., 1st aid, rudder rods, vaccum pump costs 8,5 h</t>
  </si>
  <si>
    <t>Replace work above time 8,5 h</t>
  </si>
  <si>
    <t>100h &amp; Annual Inspection costs 20,5 h</t>
  </si>
  <si>
    <t>100h &amp; Annual Inspection time 20,5 h</t>
  </si>
  <si>
    <t>Overhaul: Aircraft washed costs 2 h</t>
  </si>
  <si>
    <t>Overhaul: Install propeller &amp; run-up costs 7,25 h</t>
  </si>
  <si>
    <t>Overhaul: Install propeller &amp; run-up time 7,25 h</t>
  </si>
  <si>
    <t>Overhaul: Aircraft washed time 2 h</t>
  </si>
  <si>
    <t>Work hours: Replace O2, battery, strobe, fire ext. rod ends, filters costs 35 h</t>
  </si>
  <si>
    <t>Work hours: above 35 h</t>
  </si>
  <si>
    <t>Annual: 100h &amp; Annual Inspection costs 19,5</t>
  </si>
  <si>
    <t>Annual: 100h &amp; Annual Inspection time 19,5</t>
  </si>
  <si>
    <t>Replace LH/RH fuel drain valve, stormscope repair costs 5,5 h</t>
  </si>
  <si>
    <t>Replace work above time 5,5 h</t>
  </si>
  <si>
    <t>Maintenance: replace LH brake costs 3 h</t>
  </si>
  <si>
    <t>Maintenance: replace LH brake time 3 h</t>
  </si>
  <si>
    <t>Maintenance: replace LH brake costs 5 h</t>
  </si>
  <si>
    <t>Maintenance: replace LH brake time 5 h</t>
  </si>
  <si>
    <t>Annual: 100h &amp; Annual Inspection Costs 19,5 h</t>
  </si>
  <si>
    <t>Annual: 100h &amp; Annual Inspection time 19,5 h</t>
  </si>
  <si>
    <t>Annual: working hours  (strobe light replaced, baggage compartment cleaned) costs 1,75 h</t>
  </si>
  <si>
    <t>Annual: working hours tie for above 1,75 h</t>
  </si>
  <si>
    <t>Propeller OVH, TBO 5y (2014, -16, -18, -20, -25)</t>
  </si>
  <si>
    <t>Propeller OVH, TBO 6y (2025, -30)</t>
  </si>
  <si>
    <t>GTN650, 8y (2017)</t>
  </si>
  <si>
    <t>V-AVGAS volimue litres</t>
  </si>
  <si>
    <t>aircraft mechanic costs 2,5 h</t>
  </si>
  <si>
    <t>Taxes atterrissage Chambéry Oberkampf</t>
  </si>
  <si>
    <t>ELT 406 annual Inspection (fixed price)</t>
  </si>
  <si>
    <t>Loyer hangar Luxairport janvier</t>
  </si>
  <si>
    <t>Year</t>
  </si>
  <si>
    <t>Description</t>
  </si>
  <si>
    <t>Category</t>
  </si>
  <si>
    <t>AmountHT</t>
  </si>
  <si>
    <t>TVARate</t>
  </si>
  <si>
    <t>VATAmount</t>
  </si>
  <si>
    <t>AmountTTC</t>
  </si>
  <si>
    <t>AVGASLiters</t>
  </si>
  <si>
    <t>Mooney LX-JCO – Expense Statistics</t>
  </si>
  <si>
    <t>Calculation Parameters</t>
  </si>
  <si>
    <t>Hourly operational rates from 2018-2024</t>
  </si>
  <si>
    <r>
      <t>Hourly rate of</t>
    </r>
    <r>
      <rPr>
        <sz val="12"/>
        <color rgb="FFFF0000"/>
        <rFont val="Aptos Narrow (Body)"/>
      </rPr>
      <t xml:space="preserve"> €390</t>
    </r>
    <r>
      <rPr>
        <sz val="12"/>
        <color theme="1"/>
        <rFont val="Aptos Narrow"/>
        <family val="2"/>
        <scheme val="minor"/>
      </rPr>
      <t xml:space="preserve"> fixed for external contractors in 2024</t>
    </r>
  </si>
  <si>
    <t>Hourly rate including exceptions since 2018</t>
  </si>
  <si>
    <t>Hobbs at the beginning of the year</t>
  </si>
  <si>
    <t>Hobbs end of year</t>
  </si>
  <si>
    <t>Flight hours for the year</t>
  </si>
  <si>
    <t>HdV since 2013</t>
  </si>
  <si>
    <t>Recurring variable costs</t>
  </si>
  <si>
    <t>Variable hourly rate general since 2018 -&gt; now</t>
  </si>
  <si>
    <t>Variable hourly rate excluding fuel and taxes since 2018-&gt; now</t>
  </si>
  <si>
    <t>Annual variable total excluding fuel &amp; taxes</t>
  </si>
  <si>
    <t>Costs/hour fuel &amp; taxes since 2018, current year</t>
  </si>
  <si>
    <t>Hourly fuel consumption, 2018 -&gt; (liters)</t>
  </si>
  <si>
    <t>Total annual fuel &amp; taxes</t>
  </si>
  <si>
    <t>This file is used to calculate Mooney's spending statistics</t>
  </si>
  <si>
    <t>The two sources of invoices are (1) GAM, LuxAirport landing fees and others, (2) LuxFuel, Total, BP and others</t>
  </si>
  <si>
    <t>The items to be allocated for the statistics are</t>
  </si>
  <si>
    <t>Spending categories</t>
  </si>
  <si>
    <t>Total 2013-2024</t>
  </si>
  <si>
    <t>Variable costs</t>
  </si>
  <si>
    <t>V-Oil &amp; misc material</t>
  </si>
  <si>
    <t>V-Landing Taxes</t>
  </si>
  <si>
    <t>Emergency oil</t>
  </si>
  <si>
    <t>50-hour and 100-hour visits + parts</t>
  </si>
  <si>
    <t>Recurring fixed costs</t>
  </si>
  <si>
    <t>Aviabel Insurance</t>
  </si>
  <si>
    <t>GAM Workforce</t>
  </si>
  <si>
    <t>GAM "Annual inspection" excluding parts</t>
  </si>
  <si>
    <t>Avionics, W&amp;B, Jeppesen Subscriptions, bank</t>
  </si>
  <si>
    <t>Hangar rental, insurance, repairs</t>
  </si>
  <si>
    <t>Miscellaneous, fire extinguisher, first aid, airbrake, rudder trim</t>
  </si>
  <si>
    <t>Application of the Airworthiness Directives</t>
  </si>
  <si>
    <t>F-Aircraft Insurance</t>
  </si>
  <si>
    <t>F-Manpwr &amp; management (m-h)</t>
  </si>
  <si>
    <t>Exceptional fixed costs</t>
  </si>
  <si>
    <t>Oxygen cylinder (2023), 15 y</t>
  </si>
  <si>
    <t>Change OVH engine</t>
  </si>
  <si>
    <t>OVH propeller regulator</t>
  </si>
  <si>
    <t>Change hub, OVH propeller</t>
  </si>
  <si>
    <r>
      <t>Change hub,</t>
    </r>
    <r>
      <rPr>
        <sz val="12"/>
        <rFont val="Aptos Narrow (Body)"/>
      </rPr>
      <t xml:space="preserve"> OVH propeller</t>
    </r>
  </si>
  <si>
    <t>OVH conduits</t>
  </si>
  <si>
    <t>Engine piping, 6y (2017-24,-30)</t>
  </si>
  <si>
    <t>Raft, life jackets, O2 masks</t>
  </si>
  <si>
    <t>Hard landing 2020, perpetual</t>
  </si>
  <si>
    <t>Miscellaneous 10 y</t>
  </si>
  <si>
    <t>Propeller hub fault, perpetual</t>
  </si>
  <si>
    <r>
      <t>Change hub</t>
    </r>
    <r>
      <rPr>
        <sz val="12"/>
        <color theme="0" tint="-0.249977111117893"/>
        <rFont val="Aptos Narrow (Body)"/>
      </rPr>
      <t>,  OVH propeller</t>
    </r>
  </si>
  <si>
    <t>perpetual</t>
  </si>
  <si>
    <t>over 10 tears</t>
  </si>
  <si>
    <t>over 8 y</t>
  </si>
  <si>
    <t>over 6y</t>
  </si>
  <si>
    <t>over 5 y</t>
  </si>
  <si>
    <t>over 6 y</t>
  </si>
  <si>
    <t>over 12 y</t>
  </si>
  <si>
    <t>over 15 y</t>
  </si>
  <si>
    <t>Note: Variable costs are underrepresented because the aircraft flew very little from 2013 to 2018.</t>
  </si>
  <si>
    <t>Note: OVH that account for less than 5 years are counted directly in the year of payment and not distributed over time.</t>
  </si>
  <si>
    <t>Note: Mechanical hours per hour of service from 2013 to 2025</t>
  </si>
  <si>
    <t>Note: Mechanical hours per hour of service from 2018 to 2026</t>
  </si>
  <si>
    <t>Annual average since 2013 over the period</t>
  </si>
  <si>
    <t>Recommended monthly provision (statistics since 2013)</t>
  </si>
  <si>
    <t>Fixed hourly rate, 2018 -&gt; now</t>
  </si>
  <si>
    <t>Non-recurring fixed costs</t>
  </si>
  <si>
    <t>Fixed, non-recurring hourly charges, 2018 -&gt; now</t>
  </si>
  <si>
    <t>Fixed non-recurring costs per year</t>
  </si>
  <si>
    <t>amortized over 15 years</t>
  </si>
  <si>
    <t>amortized over 12 years</t>
  </si>
  <si>
    <t>amortized over 5 years</t>
  </si>
  <si>
    <t>amortized over 6 years</t>
  </si>
  <si>
    <t>Propeller hub changed in 2025, damaged tap, not dampened</t>
  </si>
  <si>
    <t>Landing gear, undamped</t>
  </si>
  <si>
    <t>F-Hangar &amp; insurance.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</si>
</sst>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&quot;€&quot;_-;\-* #,##0\ &quot;€&quot;_-;_-* &quot;-&quot;??\ &quot;€&quot;_-;_-@_-"/>
    <numFmt numFmtId="165" formatCode="0.0"/>
    <numFmt numFmtId="166" formatCode="#,##0.00_ ;\-#,##0.00\ "/>
  </numFmts>
  <fonts count="33" x14ac:knownFonts="1"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2"/>
      <color theme="0" tint="-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Tahoma"/>
      <family val="2"/>
    </font>
    <font>
      <sz val="12"/>
      <name val="Aptos Narrow"/>
      <family val="2"/>
      <scheme val="minor"/>
    </font>
    <font>
      <b/>
      <sz val="10"/>
      <color rgb="FF000000"/>
      <name val="Tahoma"/>
      <family val="2"/>
    </font>
    <font>
      <sz val="12"/>
      <color theme="1"/>
      <name val="Calibri"/>
      <family val="2"/>
    </font>
    <font>
      <sz val="14"/>
      <color rgb="FFFF0000"/>
      <name val="Calibri"/>
      <family val="2"/>
    </font>
    <font>
      <sz val="12"/>
      <color rgb="FFFF0000"/>
      <name val="Aptos Narrow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0"/>
      <color rgb="FFFF0000"/>
      <name val="Aptos Narrow"/>
      <family val="2"/>
      <scheme val="minor"/>
    </font>
    <font>
      <sz val="12"/>
      <color theme="0" tint="-0.34998626667073579"/>
      <name val="Calibri"/>
      <family val="2"/>
    </font>
    <font>
      <sz val="12"/>
      <color theme="0" tint="-0.34998626667073579"/>
      <name val="Aptos Narrow"/>
      <family val="2"/>
      <scheme val="minor"/>
    </font>
    <font>
      <b/>
      <sz val="12"/>
      <color rgb="FF00B050"/>
      <name val="Aptos Narrow"/>
      <scheme val="minor"/>
    </font>
    <font>
      <sz val="14"/>
      <color rgb="FF00B050"/>
      <name val="Calibri"/>
      <family val="2"/>
    </font>
    <font>
      <sz val="12"/>
      <color rgb="FFFF0000"/>
      <name val="Aptos Narrow (Body)"/>
    </font>
    <font>
      <b/>
      <sz val="12"/>
      <color rgb="FF0070C0"/>
      <name val="Aptos Narrow"/>
      <scheme val="minor"/>
    </font>
    <font>
      <b/>
      <sz val="12"/>
      <color theme="9" tint="-0.249977111117893"/>
      <name val="Aptos Narrow"/>
      <scheme val="minor"/>
    </font>
    <font>
      <b/>
      <sz val="12"/>
      <color theme="1"/>
      <name val="Aptos Narrow"/>
      <scheme val="minor"/>
    </font>
    <font>
      <sz val="12"/>
      <name val="Aptos Narrow"/>
      <scheme val="minor"/>
    </font>
    <font>
      <sz val="12"/>
      <color rgb="FF00B050"/>
      <name val="Aptos Narrow"/>
      <family val="2"/>
      <scheme val="minor"/>
    </font>
    <font>
      <sz val="12"/>
      <color theme="0" tint="-0.249977111117893"/>
      <name val="Aptos Narrow (Body)"/>
    </font>
    <font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 (Body)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5FF9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0" fillId="2" borderId="0" xfId="0" applyFill="1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0" fontId="9" fillId="0" borderId="0" xfId="0" applyFont="1"/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0" borderId="0" xfId="0" applyFont="1" applyAlignment="1">
      <alignment horizontal="left"/>
    </xf>
    <xf numFmtId="0" fontId="0" fillId="0" borderId="4" xfId="0" applyBorder="1"/>
    <xf numFmtId="44" fontId="0" fillId="0" borderId="0" xfId="0" applyNumberFormat="1"/>
    <xf numFmtId="44" fontId="0" fillId="0" borderId="6" xfId="0" applyNumberFormat="1" applyBorder="1"/>
    <xf numFmtId="0" fontId="0" fillId="0" borderId="6" xfId="0" applyBorder="1"/>
    <xf numFmtId="0" fontId="0" fillId="0" borderId="0" xfId="0" applyAlignment="1">
      <alignment vertical="center"/>
    </xf>
    <xf numFmtId="0" fontId="0" fillId="3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3" fillId="3" borderId="0" xfId="0" applyFont="1" applyFill="1" applyAlignment="1">
      <alignment horizontal="left" indent="1"/>
    </xf>
    <xf numFmtId="0" fontId="15" fillId="0" borderId="0" xfId="0" applyFont="1"/>
    <xf numFmtId="0" fontId="14" fillId="0" borderId="0" xfId="0" applyFont="1"/>
    <xf numFmtId="0" fontId="4" fillId="0" borderId="0" xfId="0" applyFont="1"/>
    <xf numFmtId="44" fontId="0" fillId="0" borderId="0" xfId="2" applyFont="1"/>
    <xf numFmtId="0" fontId="0" fillId="0" borderId="0" xfId="0" applyAlignment="1">
      <alignment horizontal="left" indent="1"/>
    </xf>
    <xf numFmtId="44" fontId="0" fillId="3" borderId="0" xfId="2" applyFont="1" applyFill="1"/>
    <xf numFmtId="0" fontId="0" fillId="0" borderId="0" xfId="0" applyAlignment="1">
      <alignment horizontal="center" vertical="center"/>
    </xf>
    <xf numFmtId="44" fontId="0" fillId="0" borderId="6" xfId="2" applyFont="1" applyBorder="1"/>
    <xf numFmtId="0" fontId="16" fillId="3" borderId="0" xfId="0" applyFont="1" applyFill="1"/>
    <xf numFmtId="0" fontId="13" fillId="3" borderId="6" xfId="0" applyFont="1" applyFill="1" applyBorder="1" applyAlignment="1">
      <alignment horizontal="left" indent="1"/>
    </xf>
    <xf numFmtId="44" fontId="0" fillId="3" borderId="0" xfId="0" applyNumberFormat="1" applyFill="1"/>
    <xf numFmtId="164" fontId="0" fillId="3" borderId="0" xfId="0" applyNumberFormat="1" applyFill="1"/>
    <xf numFmtId="44" fontId="0" fillId="3" borderId="6" xfId="0" applyNumberFormat="1" applyFill="1" applyBorder="1"/>
    <xf numFmtId="44" fontId="0" fillId="0" borderId="6" xfId="2" applyFont="1" applyFill="1" applyBorder="1" applyAlignment="1">
      <alignment vertical="center"/>
    </xf>
    <xf numFmtId="0" fontId="17" fillId="3" borderId="0" xfId="0" applyFont="1" applyFill="1" applyAlignment="1">
      <alignment horizontal="left" indent="1"/>
    </xf>
    <xf numFmtId="44" fontId="5" fillId="3" borderId="0" xfId="0" applyNumberFormat="1" applyFont="1" applyFill="1"/>
    <xf numFmtId="0" fontId="19" fillId="3" borderId="0" xfId="0" applyFont="1" applyFill="1" applyAlignment="1">
      <alignment horizontal="left" indent="1"/>
    </xf>
    <xf numFmtId="43" fontId="20" fillId="3" borderId="0" xfId="1" applyFont="1" applyFill="1"/>
    <xf numFmtId="0" fontId="20" fillId="0" borderId="0" xfId="0" applyFont="1"/>
    <xf numFmtId="43" fontId="20" fillId="0" borderId="0" xfId="1" applyFont="1"/>
    <xf numFmtId="0" fontId="20" fillId="0" borderId="6" xfId="0" applyFont="1" applyBorder="1"/>
    <xf numFmtId="43" fontId="20" fillId="0" borderId="6" xfId="1" applyFont="1" applyBorder="1"/>
    <xf numFmtId="0" fontId="0" fillId="5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0" xfId="0" applyFill="1"/>
    <xf numFmtId="44" fontId="0" fillId="0" borderId="0" xfId="2" applyFont="1" applyBorder="1"/>
    <xf numFmtId="44" fontId="0" fillId="4" borderId="0" xfId="2" applyFont="1" applyFill="1" applyBorder="1"/>
    <xf numFmtId="0" fontId="0" fillId="0" borderId="0" xfId="0" applyAlignment="1">
      <alignment horizontal="right" indent="1"/>
    </xf>
    <xf numFmtId="44" fontId="21" fillId="6" borderId="0" xfId="0" applyNumberFormat="1" applyFont="1" applyFill="1"/>
    <xf numFmtId="0" fontId="22" fillId="6" borderId="0" xfId="0" applyFont="1" applyFill="1"/>
    <xf numFmtId="1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7" fillId="5" borderId="0" xfId="0" applyFont="1" applyFill="1"/>
    <xf numFmtId="0" fontId="9" fillId="5" borderId="0" xfId="0" applyFont="1" applyFill="1"/>
    <xf numFmtId="8" fontId="0" fillId="5" borderId="0" xfId="0" applyNumberFormat="1" applyFill="1" applyAlignment="1">
      <alignment horizontal="center"/>
    </xf>
    <xf numFmtId="9" fontId="0" fillId="5" borderId="0" xfId="0" applyNumberFormat="1" applyFill="1" applyAlignment="1">
      <alignment horizontal="center"/>
    </xf>
    <xf numFmtId="0" fontId="0" fillId="5" borderId="0" xfId="0" applyFill="1" applyAlignment="1">
      <alignment horizontal="left" vertical="center" wrapText="1" indent="1"/>
    </xf>
    <xf numFmtId="44" fontId="3" fillId="5" borderId="0" xfId="2" applyFont="1" applyFill="1" applyAlignment="1">
      <alignment vertical="center"/>
    </xf>
    <xf numFmtId="8" fontId="3" fillId="5" borderId="0" xfId="2" applyNumberFormat="1" applyFont="1" applyFill="1" applyAlignment="1">
      <alignment vertical="center"/>
    </xf>
    <xf numFmtId="0" fontId="3" fillId="5" borderId="0" xfId="0" applyFont="1" applyFill="1" applyAlignment="1">
      <alignment horizontal="center"/>
    </xf>
    <xf numFmtId="44" fontId="3" fillId="5" borderId="0" xfId="2" applyFont="1" applyFill="1"/>
    <xf numFmtId="14" fontId="0" fillId="5" borderId="6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6" xfId="0" applyFill="1" applyBorder="1" applyAlignment="1">
      <alignment horizontal="left" vertical="center" wrapText="1" indent="1"/>
    </xf>
    <xf numFmtId="0" fontId="9" fillId="5" borderId="6" xfId="0" applyFont="1" applyFill="1" applyBorder="1"/>
    <xf numFmtId="44" fontId="3" fillId="5" borderId="6" xfId="2" applyFont="1" applyFill="1" applyBorder="1"/>
    <xf numFmtId="9" fontId="0" fillId="5" borderId="6" xfId="0" applyNumberFormat="1" applyFill="1" applyBorder="1" applyAlignment="1">
      <alignment horizontal="center"/>
    </xf>
    <xf numFmtId="8" fontId="0" fillId="5" borderId="6" xfId="0" applyNumberFormat="1" applyFill="1" applyBorder="1" applyAlignment="1">
      <alignment horizontal="center"/>
    </xf>
    <xf numFmtId="0" fontId="7" fillId="5" borderId="0" xfId="0" applyFont="1" applyFill="1" applyAlignment="1">
      <alignment vertical="center" wrapText="1"/>
    </xf>
    <xf numFmtId="44" fontId="3" fillId="5" borderId="0" xfId="2" applyFont="1" applyFill="1" applyAlignment="1">
      <alignment horizontal="center"/>
    </xf>
    <xf numFmtId="14" fontId="0" fillId="5" borderId="4" xfId="0" applyNumberFormat="1" applyFill="1" applyBorder="1" applyAlignment="1">
      <alignment horizontal="center"/>
    </xf>
    <xf numFmtId="0" fontId="7" fillId="5" borderId="4" xfId="0" applyFont="1" applyFill="1" applyBorder="1" applyAlignment="1">
      <alignment vertical="center" wrapText="1"/>
    </xf>
    <xf numFmtId="44" fontId="0" fillId="5" borderId="6" xfId="2" applyFont="1" applyFill="1" applyBorder="1" applyAlignment="1">
      <alignment horizontal="center"/>
    </xf>
    <xf numFmtId="44" fontId="0" fillId="5" borderId="0" xfId="2" applyFont="1" applyFill="1" applyAlignment="1">
      <alignment horizontal="center"/>
    </xf>
    <xf numFmtId="0" fontId="0" fillId="5" borderId="6" xfId="0" applyFill="1" applyBorder="1" applyAlignment="1">
      <alignment horizontal="left" indent="1"/>
    </xf>
    <xf numFmtId="44" fontId="11" fillId="5" borderId="6" xfId="3" applyFont="1" applyFill="1" applyBorder="1"/>
    <xf numFmtId="44" fontId="3" fillId="5" borderId="0" xfId="3" applyFont="1" applyFill="1" applyAlignment="1">
      <alignment vertical="center"/>
    </xf>
    <xf numFmtId="1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9" fillId="5" borderId="0" xfId="0" applyFont="1" applyFill="1" applyAlignment="1">
      <alignment vertical="center"/>
    </xf>
    <xf numFmtId="9" fontId="0" fillId="5" borderId="0" xfId="0" applyNumberFormat="1" applyFill="1" applyAlignment="1">
      <alignment horizontal="center" vertical="center"/>
    </xf>
    <xf numFmtId="44" fontId="3" fillId="5" borderId="6" xfId="3" applyFont="1" applyFill="1" applyBorder="1" applyAlignment="1">
      <alignment vertical="center"/>
    </xf>
    <xf numFmtId="0" fontId="11" fillId="5" borderId="0" xfId="0" applyFont="1" applyFill="1" applyAlignment="1">
      <alignment horizontal="left" vertical="center" wrapText="1" indent="1"/>
    </xf>
    <xf numFmtId="44" fontId="11" fillId="5" borderId="0" xfId="3" applyFont="1" applyFill="1" applyAlignment="1">
      <alignment vertical="center"/>
    </xf>
    <xf numFmtId="44" fontId="11" fillId="5" borderId="0" xfId="3" applyFont="1" applyFill="1"/>
    <xf numFmtId="0" fontId="0" fillId="5" borderId="0" xfId="0" applyFill="1" applyAlignment="1">
      <alignment horizontal="left" vertical="center" wrapText="1"/>
    </xf>
    <xf numFmtId="44" fontId="3" fillId="5" borderId="0" xfId="3" applyFont="1" applyFill="1"/>
    <xf numFmtId="44" fontId="3" fillId="5" borderId="6" xfId="3" applyFont="1" applyFill="1" applyBorder="1"/>
    <xf numFmtId="0" fontId="0" fillId="5" borderId="6" xfId="0" applyFill="1" applyBorder="1" applyAlignment="1">
      <alignment horizontal="left" vertical="center" wrapText="1"/>
    </xf>
    <xf numFmtId="14" fontId="0" fillId="5" borderId="6" xfId="0" applyNumberFormat="1" applyFill="1" applyBorder="1" applyAlignment="1">
      <alignment horizontal="center" vertical="center"/>
    </xf>
    <xf numFmtId="0" fontId="9" fillId="5" borderId="6" xfId="0" applyFont="1" applyFill="1" applyBorder="1" applyAlignment="1">
      <alignment vertical="center"/>
    </xf>
    <xf numFmtId="44" fontId="0" fillId="5" borderId="6" xfId="2" applyFont="1" applyFill="1" applyBorder="1" applyAlignment="1">
      <alignment horizontal="center" vertical="center"/>
    </xf>
    <xf numFmtId="9" fontId="0" fillId="5" borderId="6" xfId="0" applyNumberFormat="1" applyFill="1" applyBorder="1" applyAlignment="1">
      <alignment horizontal="center" vertical="center"/>
    </xf>
    <xf numFmtId="44" fontId="8" fillId="5" borderId="0" xfId="3" applyFont="1" applyFill="1"/>
    <xf numFmtId="44" fontId="8" fillId="5" borderId="6" xfId="3" applyFont="1" applyFill="1" applyBorder="1" applyAlignment="1">
      <alignment vertical="center"/>
    </xf>
    <xf numFmtId="44" fontId="8" fillId="5" borderId="0" xfId="3" applyFont="1" applyFill="1" applyAlignment="1">
      <alignment vertical="center"/>
    </xf>
    <xf numFmtId="44" fontId="11" fillId="5" borderId="6" xfId="3" applyFont="1" applyFill="1" applyBorder="1" applyAlignment="1">
      <alignment vertical="center"/>
    </xf>
    <xf numFmtId="8" fontId="11" fillId="5" borderId="6" xfId="3" applyNumberFormat="1" applyFont="1" applyFill="1" applyBorder="1"/>
    <xf numFmtId="0" fontId="0" fillId="5" borderId="0" xfId="0" quotePrefix="1" applyFill="1" applyAlignment="1">
      <alignment horizontal="left" vertical="center" wrapText="1" indent="1"/>
    </xf>
    <xf numFmtId="44" fontId="3" fillId="5" borderId="6" xfId="0" applyNumberFormat="1" applyFont="1" applyFill="1" applyBorder="1"/>
    <xf numFmtId="0" fontId="18" fillId="5" borderId="6" xfId="0" applyFont="1" applyFill="1" applyBorder="1" applyAlignment="1">
      <alignment vertical="center"/>
    </xf>
    <xf numFmtId="44" fontId="3" fillId="5" borderId="6" xfId="2" applyFont="1" applyFill="1" applyBorder="1" applyAlignment="1">
      <alignment horizontal="center"/>
    </xf>
    <xf numFmtId="44" fontId="0" fillId="5" borderId="0" xfId="3" applyFont="1" applyFill="1"/>
    <xf numFmtId="0" fontId="0" fillId="5" borderId="0" xfId="0" applyFill="1" applyAlignment="1">
      <alignment vertical="center" wrapText="1"/>
    </xf>
    <xf numFmtId="44" fontId="0" fillId="5" borderId="0" xfId="3" applyFont="1" applyFill="1" applyAlignment="1">
      <alignment vertical="center"/>
    </xf>
    <xf numFmtId="8" fontId="0" fillId="0" borderId="0" xfId="0" applyNumberFormat="1" applyAlignment="1">
      <alignment horizontal="center"/>
    </xf>
    <xf numFmtId="8" fontId="0" fillId="0" borderId="6" xfId="0" applyNumberFormat="1" applyBorder="1" applyAlignment="1">
      <alignment horizontal="center"/>
    </xf>
    <xf numFmtId="44" fontId="0" fillId="0" borderId="0" xfId="2" applyFont="1" applyFill="1" applyAlignment="1"/>
    <xf numFmtId="44" fontId="0" fillId="0" borderId="6" xfId="2" applyFont="1" applyFill="1" applyBorder="1" applyAlignment="1"/>
    <xf numFmtId="44" fontId="0" fillId="0" borderId="0" xfId="2" applyFont="1" applyFill="1" applyAlignment="1">
      <alignment vertical="center"/>
    </xf>
    <xf numFmtId="0" fontId="20" fillId="0" borderId="0" xfId="0" applyFont="1" applyAlignment="1">
      <alignment horizontal="left" indent="1"/>
    </xf>
    <xf numFmtId="44" fontId="20" fillId="0" borderId="0" xfId="2" applyFont="1" applyBorder="1"/>
    <xf numFmtId="44" fontId="20" fillId="4" borderId="0" xfId="2" applyFont="1" applyFill="1" applyBorder="1"/>
    <xf numFmtId="0" fontId="16" fillId="3" borderId="4" xfId="0" applyFont="1" applyFill="1" applyBorder="1"/>
    <xf numFmtId="9" fontId="0" fillId="0" borderId="0" xfId="5" applyFont="1"/>
    <xf numFmtId="44" fontId="26" fillId="3" borderId="0" xfId="0" applyNumberFormat="1" applyFont="1" applyFill="1"/>
    <xf numFmtId="165" fontId="25" fillId="6" borderId="0" xfId="0" applyNumberFormat="1" applyFont="1" applyFill="1"/>
    <xf numFmtId="8" fontId="0" fillId="5" borderId="0" xfId="2" applyNumberFormat="1" applyFont="1" applyFill="1" applyAlignment="1">
      <alignment horizontal="center"/>
    </xf>
    <xf numFmtId="8" fontId="0" fillId="5" borderId="6" xfId="2" applyNumberFormat="1" applyFont="1" applyFill="1" applyBorder="1" applyAlignment="1">
      <alignment horizontal="center"/>
    </xf>
    <xf numFmtId="8" fontId="0" fillId="5" borderId="0" xfId="2" applyNumberFormat="1" applyFont="1" applyFill="1" applyAlignment="1"/>
    <xf numFmtId="8" fontId="0" fillId="5" borderId="6" xfId="2" applyNumberFormat="1" applyFont="1" applyFill="1" applyBorder="1" applyAlignment="1"/>
    <xf numFmtId="8" fontId="0" fillId="5" borderId="0" xfId="2" applyNumberFormat="1" applyFont="1" applyFill="1" applyAlignment="1">
      <alignment vertical="center"/>
    </xf>
    <xf numFmtId="8" fontId="3" fillId="5" borderId="6" xfId="3" applyNumberFormat="1" applyFont="1" applyFill="1" applyBorder="1"/>
    <xf numFmtId="8" fontId="0" fillId="5" borderId="6" xfId="2" applyNumberFormat="1" applyFont="1" applyFill="1" applyBorder="1" applyAlignment="1">
      <alignment vertical="center"/>
    </xf>
    <xf numFmtId="0" fontId="0" fillId="5" borderId="0" xfId="0" applyFill="1" applyAlignment="1">
      <alignment horizontal="left" indent="1"/>
    </xf>
    <xf numFmtId="0" fontId="0" fillId="5" borderId="0" xfId="0" applyFill="1" applyAlignment="1">
      <alignment horizontal="left" indent="2"/>
    </xf>
    <xf numFmtId="0" fontId="9" fillId="5" borderId="4" xfId="0" applyFont="1" applyFill="1" applyBorder="1"/>
    <xf numFmtId="9" fontId="0" fillId="5" borderId="4" xfId="0" applyNumberFormat="1" applyFill="1" applyBorder="1" applyAlignment="1">
      <alignment horizontal="center"/>
    </xf>
    <xf numFmtId="44" fontId="0" fillId="0" borderId="4" xfId="2" applyFont="1" applyFill="1" applyBorder="1" applyAlignment="1"/>
    <xf numFmtId="8" fontId="0" fillId="5" borderId="4" xfId="2" applyNumberFormat="1" applyFont="1" applyFill="1" applyBorder="1" applyAlignment="1"/>
    <xf numFmtId="0" fontId="0" fillId="5" borderId="7" xfId="0" applyFill="1" applyBorder="1" applyAlignment="1">
      <alignment horizontal="center"/>
    </xf>
    <xf numFmtId="165" fontId="27" fillId="0" borderId="0" xfId="0" applyNumberFormat="1" applyFont="1"/>
    <xf numFmtId="44" fontId="0" fillId="0" borderId="0" xfId="2" applyFont="1" applyFill="1" applyBorder="1" applyAlignment="1">
      <alignment vertical="center"/>
    </xf>
    <xf numFmtId="8" fontId="0" fillId="5" borderId="0" xfId="2" applyNumberFormat="1" applyFont="1" applyFill="1" applyBorder="1" applyAlignment="1">
      <alignment vertical="center"/>
    </xf>
    <xf numFmtId="44" fontId="0" fillId="5" borderId="0" xfId="3" applyFont="1" applyFill="1" applyBorder="1" applyAlignment="1">
      <alignment vertical="center"/>
    </xf>
    <xf numFmtId="44" fontId="3" fillId="5" borderId="0" xfId="3" applyFont="1" applyFill="1" applyBorder="1"/>
    <xf numFmtId="44" fontId="0" fillId="0" borderId="0" xfId="2" applyFont="1" applyFill="1" applyBorder="1" applyAlignment="1"/>
    <xf numFmtId="8" fontId="0" fillId="5" borderId="0" xfId="2" applyNumberFormat="1" applyFont="1" applyFill="1" applyBorder="1" applyAlignment="1"/>
    <xf numFmtId="0" fontId="24" fillId="5" borderId="0" xfId="0" applyFont="1" applyFill="1" applyAlignment="1">
      <alignment vertical="center" wrapText="1"/>
    </xf>
    <xf numFmtId="0" fontId="0" fillId="5" borderId="4" xfId="0" applyFill="1" applyBorder="1" applyAlignment="1">
      <alignment horizontal="center"/>
    </xf>
    <xf numFmtId="44" fontId="0" fillId="0" borderId="0" xfId="2" applyFont="1" applyFill="1" applyBorder="1"/>
    <xf numFmtId="44" fontId="20" fillId="0" borderId="0" xfId="2" applyFont="1" applyFill="1" applyBorder="1"/>
    <xf numFmtId="165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28" fillId="6" borderId="0" xfId="0" applyFont="1" applyFill="1"/>
    <xf numFmtId="0" fontId="0" fillId="6" borderId="0" xfId="0" applyFill="1"/>
    <xf numFmtId="165" fontId="21" fillId="6" borderId="0" xfId="0" applyNumberFormat="1" applyFont="1" applyFill="1"/>
    <xf numFmtId="0" fontId="30" fillId="0" borderId="0" xfId="0" applyFont="1" applyAlignment="1">
      <alignment horizontal="right"/>
    </xf>
    <xf numFmtId="44" fontId="3" fillId="5" borderId="0" xfId="3" applyFont="1" applyFill="1" applyBorder="1" applyAlignment="1">
      <alignment vertical="center"/>
    </xf>
    <xf numFmtId="44" fontId="8" fillId="5" borderId="0" xfId="3" applyFont="1" applyFill="1" applyBorder="1" applyAlignment="1">
      <alignment vertical="center"/>
    </xf>
    <xf numFmtId="44" fontId="11" fillId="5" borderId="0" xfId="3" applyFont="1" applyFill="1" applyBorder="1"/>
    <xf numFmtId="44" fontId="11" fillId="5" borderId="0" xfId="3" applyFont="1" applyFill="1" applyBorder="1" applyAlignment="1">
      <alignment vertical="center"/>
    </xf>
    <xf numFmtId="44" fontId="0" fillId="5" borderId="0" xfId="2" applyFont="1" applyFill="1" applyBorder="1" applyAlignment="1">
      <alignment horizontal="center" vertical="center"/>
    </xf>
    <xf numFmtId="44" fontId="3" fillId="5" borderId="0" xfId="2" applyFont="1" applyFill="1" applyBorder="1"/>
    <xf numFmtId="8" fontId="0" fillId="5" borderId="0" xfId="2" applyNumberFormat="1" applyFont="1" applyFill="1" applyBorder="1" applyAlignment="1">
      <alignment horizontal="center"/>
    </xf>
    <xf numFmtId="166" fontId="0" fillId="0" borderId="0" xfId="2" applyNumberFormat="1" applyFont="1" applyBorder="1"/>
    <xf numFmtId="166" fontId="0" fillId="0" borderId="0" xfId="0" applyNumberFormat="1"/>
    <xf numFmtId="44" fontId="4" fillId="0" borderId="0" xfId="2" applyFont="1" applyBorder="1"/>
    <xf numFmtId="0" fontId="6" fillId="0" borderId="0" xfId="0" applyFont="1" applyAlignment="1">
      <alignment horizontal="right" indent="2"/>
    </xf>
    <xf numFmtId="166" fontId="0" fillId="0" borderId="0" xfId="1" applyNumberFormat="1" applyFont="1" applyAlignment="1">
      <alignment horizontal="left" indent="1"/>
    </xf>
    <xf numFmtId="0" fontId="0" fillId="0" borderId="8" xfId="0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4" fillId="0" borderId="0" xfId="0" applyFont="1" applyAlignment="1">
      <alignment horizontal="left" indent="1"/>
    </xf>
    <xf numFmtId="0" fontId="4" fillId="6" borderId="0" xfId="0" applyFont="1" applyFill="1"/>
    <xf numFmtId="0" fontId="4" fillId="0" borderId="6" xfId="0" applyFont="1" applyBorder="1"/>
    <xf numFmtId="0" fontId="4" fillId="0" borderId="6" xfId="0" applyFont="1" applyBorder="1" applyAlignment="1">
      <alignment horizontal="left" indent="1"/>
    </xf>
    <xf numFmtId="0" fontId="4" fillId="3" borderId="0" xfId="0" applyFont="1" applyFill="1"/>
    <xf numFmtId="14" fontId="0" fillId="5" borderId="9" xfId="0" applyNumberFormat="1" applyFill="1" applyBorder="1" applyAlignment="1">
      <alignment horizontal="center"/>
    </xf>
    <xf numFmtId="0" fontId="29" fillId="0" borderId="0" xfId="0" applyFont="1"/>
    <xf numFmtId="0" fontId="32" fillId="0" borderId="0" xfId="0" applyFont="1"/>
    <xf numFmtId="0" fontId="27" fillId="0" borderId="0" xfId="0" applyFont="1"/>
  </cellXfs>
  <cellStyles count="6">
    <cellStyle name="Comma" xfId="1" builtinId="3"/>
    <cellStyle name="Currency" xfId="2" builtinId="4"/>
    <cellStyle name="Currency 2" xfId="3" xr:uid="{E6DFC83B-B47A-3D4B-B7EE-742951CEE5B0}"/>
    <cellStyle name="Normal" xfId="0" builtinId="0"/>
    <cellStyle name="Per cent" xfId="5" builtinId="5"/>
    <cellStyle name="Per cent 2" xfId="4" xr:uid="{EF755771-4D96-AD43-A96F-30A00FE07CAF}"/>
  </cellStyles>
  <dxfs count="0"/>
  <tableStyles count="0" defaultTableStyle="TableStyleMedium2" defaultPivotStyle="PivotStyleLight16"/>
  <colors>
    <mruColors>
      <color rgb="FFF5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Statistics since 2018 only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42-1A4E-A8EF-9AD7395B8B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42-1A4E-A8EF-9AD7395B8B10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L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'OLD-Stats'!$Q$25:$Q$26</c:f>
              <c:strCache>
                <c:ptCount val="2"/>
                <c:pt idx="0">
                  <c:v>Frais variables</c:v>
                </c:pt>
                <c:pt idx="1">
                  <c:v>Frais fixes</c:v>
                </c:pt>
              </c:strCache>
            </c:strRef>
          </c:cat>
          <c:val>
            <c:numRef>
              <c:f>'OLD-Stats'!$S$25:$S$26</c:f>
              <c:numCache>
                <c:formatCode>0%</c:formatCode>
                <c:ptCount val="2"/>
                <c:pt idx="0">
                  <c:v>0.19718978086459527</c:v>
                </c:pt>
                <c:pt idx="1">
                  <c:v>0.80281021913540462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B-534F-9926-783A833E3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 sz="1800"/>
              <a:t>Dépenses par catégories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LU"/>
        </a:p>
      </c:txPr>
    </c:title>
    <c:autoTitleDeleted val="0"/>
    <c:plotArea>
      <c:layout/>
      <c:pieChart>
        <c:varyColors val="1"/>
        <c:ser>
          <c:idx val="0"/>
          <c:order val="0"/>
          <c:spPr>
            <a:ln w="15875"/>
          </c:spPr>
          <c:dPt>
            <c:idx val="0"/>
            <c:bubble3D val="0"/>
            <c:spPr>
              <a:solidFill>
                <a:srgbClr val="00B0F0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6D9-024A-A338-4F3BBC2B3585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D9-024A-A338-4F3BBC2B3585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6D9-024A-A338-4F3BBC2B3585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D9-024A-A338-4F3BBC2B3585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8C-7D4B-B3CD-7637D8ACBFEB}"/>
              </c:ext>
            </c:extLst>
          </c:dPt>
          <c:dPt>
            <c:idx val="5"/>
            <c:bubble3D val="0"/>
            <c:spPr>
              <a:solidFill>
                <a:srgbClr val="FFC000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D9-024A-A338-4F3BBC2B3585}"/>
              </c:ext>
            </c:extLst>
          </c:dPt>
          <c:dPt>
            <c:idx val="6"/>
            <c:bubble3D val="0"/>
            <c:spPr>
              <a:solidFill>
                <a:srgbClr val="FFC000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6D9-024A-A338-4F3BBC2B3585}"/>
              </c:ext>
            </c:extLst>
          </c:dPt>
          <c:dPt>
            <c:idx val="7"/>
            <c:bubble3D val="0"/>
            <c:spPr>
              <a:solidFill>
                <a:srgbClr val="FFC000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D9-024A-A338-4F3BBC2B3585}"/>
              </c:ext>
            </c:extLst>
          </c:dPt>
          <c:dPt>
            <c:idx val="8"/>
            <c:bubble3D val="0"/>
            <c:spPr>
              <a:solidFill>
                <a:srgbClr val="FFC000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6D9-024A-A338-4F3BBC2B3585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D8C-7D4B-B3CD-7637D8ACBFEB}"/>
              </c:ext>
            </c:extLst>
          </c:dPt>
          <c:dPt>
            <c:idx val="10"/>
            <c:bubble3D val="0"/>
            <c:spPr>
              <a:solidFill>
                <a:srgbClr val="FFC000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D9-024A-A338-4F3BBC2B3585}"/>
              </c:ext>
            </c:extLst>
          </c:dPt>
          <c:dPt>
            <c:idx val="11"/>
            <c:bubble3D val="0"/>
            <c:spPr>
              <a:solidFill>
                <a:srgbClr val="FFC000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6D9-024A-A338-4F3BBC2B3585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D8C-7D4B-B3CD-7637D8ACBFEB}"/>
              </c:ext>
            </c:extLst>
          </c:dPt>
          <c:dPt>
            <c:idx val="13"/>
            <c:bubble3D val="0"/>
            <c:spPr>
              <a:solidFill>
                <a:srgbClr val="FFC000"/>
              </a:solidFill>
              <a:ln w="1587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D9-024A-A338-4F3BBC2B3585}"/>
              </c:ext>
            </c:extLst>
          </c:dPt>
          <c:dLbls>
            <c:dLbl>
              <c:idx val="0"/>
              <c:layout>
                <c:manualLayout>
                  <c:x val="6.5593125480011685E-2"/>
                  <c:y val="-2.003389988255726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D9-024A-A338-4F3BBC2B3585}"/>
                </c:ext>
              </c:extLst>
            </c:dLbl>
            <c:dLbl>
              <c:idx val="12"/>
              <c:layout>
                <c:manualLayout>
                  <c:x val="-7.3966715966821681E-2"/>
                  <c:y val="6.010169964767153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D8C-7D4B-B3CD-7637D8ACBFEB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L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'OLD-KPI'!$A$7:$A$20</c:f>
              <c:strCache>
                <c:ptCount val="14"/>
                <c:pt idx="0">
                  <c:v>V-Oil &amp; misc material</c:v>
                </c:pt>
                <c:pt idx="1">
                  <c:v>V-Visit 50h &amp; 100h</c:v>
                </c:pt>
                <c:pt idx="2">
                  <c:v>V-Landing Taxes</c:v>
                </c:pt>
                <c:pt idx="3">
                  <c:v>V-AVGAS</c:v>
                </c:pt>
                <c:pt idx="4">
                  <c:v>----</c:v>
                </c:pt>
                <c:pt idx="5">
                  <c:v>F-Aircraft Insurance</c:v>
                </c:pt>
                <c:pt idx="6">
                  <c:v>F-Manpwr &amp; management (m-h)</c:v>
                </c:pt>
                <c:pt idx="7">
                  <c:v>F-Annual visit</c:v>
                </c:pt>
                <c:pt idx="8">
                  <c:v>F-Avionics</c:v>
                </c:pt>
                <c:pt idx="9">
                  <c:v>F-Hangar &amp; insurance.</c:v>
                </c:pt>
                <c:pt idx="10">
                  <c:v>F-ARC &amp; CDN &amp; ILR</c:v>
                </c:pt>
                <c:pt idx="11">
                  <c:v>F-Time limit-misc. structure</c:v>
                </c:pt>
                <c:pt idx="12">
                  <c:v>F-Airworthiness dir.</c:v>
                </c:pt>
                <c:pt idx="13">
                  <c:v>F-Refill.</c:v>
                </c:pt>
              </c:strCache>
            </c:strRef>
          </c:cat>
          <c:val>
            <c:numRef>
              <c:f>'OLD-KPI'!$B$7:$B$20</c:f>
              <c:numCache>
                <c:formatCode>_("€"* #,##0.00_);_("€"* \(#,##0.00\);_("€"* "-"??_);_(@_)</c:formatCode>
                <c:ptCount val="14"/>
                <c:pt idx="0">
                  <c:v>1378.9284999999998</c:v>
                </c:pt>
                <c:pt idx="1">
                  <c:v>5382.0747999999994</c:v>
                </c:pt>
                <c:pt idx="2">
                  <c:v>525</c:v>
                </c:pt>
                <c:pt idx="3">
                  <c:v>0</c:v>
                </c:pt>
                <c:pt idx="5">
                  <c:v>4057.95</c:v>
                </c:pt>
                <c:pt idx="6" formatCode="#,##0.00_ ;\-#,##0.00\ ">
                  <c:v>351.25</c:v>
                </c:pt>
                <c:pt idx="7">
                  <c:v>10764.0576</c:v>
                </c:pt>
                <c:pt idx="8">
                  <c:v>3868.0877999999998</c:v>
                </c:pt>
                <c:pt idx="9">
                  <c:v>-9837.9699999999993</c:v>
                </c:pt>
                <c:pt idx="10">
                  <c:v>9178.5776000000005</c:v>
                </c:pt>
                <c:pt idx="11">
                  <c:v>10851.661000000002</c:v>
                </c:pt>
                <c:pt idx="12">
                  <c:v>330.23250000000002</c:v>
                </c:pt>
                <c:pt idx="13">
                  <c:v>1086.174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9-024A-A338-4F3BBC2B358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243417</xdr:colOff>
      <xdr:row>5</xdr:row>
      <xdr:rowOff>179916</xdr:rowOff>
    </xdr:from>
    <xdr:to>
      <xdr:col>15</xdr:col>
      <xdr:colOff>84667</xdr:colOff>
      <xdr:row>7</xdr:row>
      <xdr:rowOff>52916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9DD55624-CE0E-2B37-9CF0-46185E9D8605}"/>
            </a:ext>
          </a:extLst>
        </xdr:cNvPr>
        <xdr:cNvSpPr/>
      </xdr:nvSpPr>
      <xdr:spPr>
        <a:xfrm>
          <a:off x="14911917" y="1481666"/>
          <a:ext cx="709083" cy="275167"/>
        </a:xfrm>
        <a:prstGeom prst="ellipse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190505</xdr:colOff>
      <xdr:row>8</xdr:row>
      <xdr:rowOff>51858</xdr:rowOff>
    </xdr:from>
    <xdr:to>
      <xdr:col>20</xdr:col>
      <xdr:colOff>804334</xdr:colOff>
      <xdr:row>23</xdr:row>
      <xdr:rowOff>169332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CDB6D5-5F2C-894C-9874-D3959B7DD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99483</xdr:colOff>
      <xdr:row>1</xdr:row>
      <xdr:rowOff>194731</xdr:rowOff>
    </xdr:from>
    <xdr:to>
      <xdr:col>15</xdr:col>
      <xdr:colOff>14816</xdr:colOff>
      <xdr:row>3</xdr:row>
      <xdr:rowOff>25398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8F00EF1-E052-7449-8F10-6608147EEF03}"/>
            </a:ext>
          </a:extLst>
        </xdr:cNvPr>
        <xdr:cNvSpPr/>
      </xdr:nvSpPr>
      <xdr:spPr>
        <a:xfrm>
          <a:off x="14767983" y="565148"/>
          <a:ext cx="783166" cy="27516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141658</xdr:colOff>
      <xdr:row>5</xdr:row>
      <xdr:rowOff>20515</xdr:rowOff>
    </xdr:from>
    <xdr:to>
      <xdr:col>13</xdr:col>
      <xdr:colOff>703391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BABD7C-962A-3E62-844A-F69C67D22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vutien/Dropbox/Perso%20Vu%20Tien/Pilotage/0-Ops%20LX-JCO/1-Comptabilite&#769;%20Mooney/20251202%20Comptes%20Mooney%20v2025-v4.xlsx" TargetMode="External"/><Relationship Id="rId1" Type="http://schemas.openxmlformats.org/officeDocument/2006/relationships/externalLinkPath" Target="/Users/kvutien/Dropbox/Perso%20Vu%20Tien/Pilotage/0-Ops%20LX-JCO/1-Comptabilite&#769;%20Mooney/20251202%20Comptes%20Mooney%20v2025-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s"/>
      <sheetName val="Log"/>
      <sheetName val="Fuel"/>
      <sheetName val="Payment"/>
      <sheetName val="Cost"/>
      <sheetName val="VTK1"/>
      <sheetName val="VTK2"/>
      <sheetName val="Data"/>
      <sheetName val="Maintenance_resume"/>
      <sheetName val="Maintenance"/>
      <sheetName val="Maintenenca_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D2" t="str">
            <v>External</v>
          </cell>
        </row>
        <row r="3">
          <cell r="D3" t="str">
            <v>Guest</v>
          </cell>
        </row>
        <row r="4">
          <cell r="D4" t="str">
            <v>Maintenance</v>
          </cell>
        </row>
        <row r="5">
          <cell r="D5" t="str">
            <v>Owner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751F-BF79-6347-9560-8C9F8134488E}">
  <sheetPr>
    <pageSetUpPr fitToPage="1"/>
  </sheetPr>
  <dimension ref="A1:J922"/>
  <sheetViews>
    <sheetView tabSelected="1" zoomScale="130" zoomScaleNormal="130" workbookViewId="0">
      <pane ySplit="1" topLeftCell="A45" activePane="bottomLeft" state="frozenSplit"/>
      <selection pane="bottomLeft" activeCell="D924" sqref="D924"/>
    </sheetView>
  </sheetViews>
  <sheetFormatPr baseColWidth="10" defaultRowHeight="16" x14ac:dyDescent="0.2"/>
  <cols>
    <col min="1" max="2" width="10.83203125" style="6"/>
    <col min="3" max="3" width="42" customWidth="1"/>
    <col min="4" max="4" width="27.6640625" style="7" customWidth="1"/>
    <col min="5" max="5" width="11.83203125" style="6" customWidth="1"/>
    <col min="6" max="6" width="6.5" style="6" customWidth="1"/>
    <col min="7" max="7" width="10.83203125" style="6"/>
    <col min="8" max="8" width="11.6640625" style="6" customWidth="1"/>
    <col min="9" max="9" width="12" style="18" customWidth="1"/>
    <col min="10" max="10" width="12" style="6" customWidth="1"/>
  </cols>
  <sheetData>
    <row r="1" spans="1:10" x14ac:dyDescent="0.2">
      <c r="A1" s="9" t="s">
        <v>3</v>
      </c>
      <c r="B1" s="9" t="s">
        <v>245</v>
      </c>
      <c r="C1" s="10" t="s">
        <v>246</v>
      </c>
      <c r="D1" s="10" t="s">
        <v>247</v>
      </c>
      <c r="E1" s="9" t="s">
        <v>248</v>
      </c>
      <c r="F1" s="9" t="s">
        <v>249</v>
      </c>
      <c r="G1" s="9" t="s">
        <v>250</v>
      </c>
      <c r="H1" s="9" t="s">
        <v>251</v>
      </c>
      <c r="I1" s="17" t="s">
        <v>252</v>
      </c>
      <c r="J1" s="17" t="s">
        <v>155</v>
      </c>
    </row>
    <row r="2" spans="1:10" x14ac:dyDescent="0.2">
      <c r="A2" s="52">
        <v>41312</v>
      </c>
      <c r="B2" s="53">
        <f>YEAR(A2)</f>
        <v>2013</v>
      </c>
      <c r="C2" s="54" t="s">
        <v>4</v>
      </c>
      <c r="D2" s="55"/>
      <c r="E2" s="56"/>
      <c r="F2" s="57"/>
      <c r="G2" s="107"/>
      <c r="H2" s="119"/>
      <c r="I2" s="42"/>
      <c r="J2" s="6">
        <v>0</v>
      </c>
    </row>
    <row r="3" spans="1:10" ht="17" x14ac:dyDescent="0.2">
      <c r="A3" s="52">
        <v>41312</v>
      </c>
      <c r="B3" s="53">
        <f t="shared" ref="B3:B66" si="0">YEAR(A3)</f>
        <v>2013</v>
      </c>
      <c r="C3" s="58" t="s">
        <v>5</v>
      </c>
      <c r="D3" s="55" t="s">
        <v>275</v>
      </c>
      <c r="E3" s="59">
        <v>114.08</v>
      </c>
      <c r="F3" s="57">
        <v>0.15</v>
      </c>
      <c r="G3" s="107">
        <f t="shared" ref="G3:G6" si="1">E3*F3</f>
        <v>17.111999999999998</v>
      </c>
      <c r="H3" s="119">
        <f t="shared" ref="H3:H6" si="2">E3+G3</f>
        <v>131.19200000000001</v>
      </c>
      <c r="I3" s="42"/>
      <c r="J3" s="6">
        <v>0</v>
      </c>
    </row>
    <row r="4" spans="1:10" ht="17" x14ac:dyDescent="0.2">
      <c r="A4" s="52">
        <v>41312</v>
      </c>
      <c r="B4" s="53">
        <f t="shared" si="0"/>
        <v>2013</v>
      </c>
      <c r="C4" s="58" t="s">
        <v>6</v>
      </c>
      <c r="D4" s="55" t="s">
        <v>82</v>
      </c>
      <c r="E4" s="59">
        <v>129.30000000000001</v>
      </c>
      <c r="F4" s="57">
        <v>0.15</v>
      </c>
      <c r="G4" s="107">
        <f t="shared" si="1"/>
        <v>19.395</v>
      </c>
      <c r="H4" s="119">
        <f t="shared" si="2"/>
        <v>148.69500000000002</v>
      </c>
      <c r="I4" s="42"/>
      <c r="J4" s="6">
        <v>0</v>
      </c>
    </row>
    <row r="5" spans="1:10" ht="17" x14ac:dyDescent="0.2">
      <c r="A5" s="52">
        <v>41312</v>
      </c>
      <c r="B5" s="53">
        <f t="shared" si="0"/>
        <v>2013</v>
      </c>
      <c r="C5" s="58" t="s">
        <v>7</v>
      </c>
      <c r="D5" s="55" t="s">
        <v>82</v>
      </c>
      <c r="E5" s="60">
        <v>161.41</v>
      </c>
      <c r="F5" s="57">
        <v>0.15</v>
      </c>
      <c r="G5" s="107">
        <f t="shared" si="1"/>
        <v>24.211499999999997</v>
      </c>
      <c r="H5" s="119">
        <f t="shared" si="2"/>
        <v>185.6215</v>
      </c>
      <c r="I5" s="42"/>
      <c r="J5" s="6">
        <v>0</v>
      </c>
    </row>
    <row r="6" spans="1:10" ht="17" x14ac:dyDescent="0.2">
      <c r="A6" s="52">
        <v>41312</v>
      </c>
      <c r="B6" s="53">
        <f t="shared" si="0"/>
        <v>2013</v>
      </c>
      <c r="C6" s="58" t="s">
        <v>7</v>
      </c>
      <c r="D6" s="55" t="s">
        <v>288</v>
      </c>
      <c r="E6" s="61"/>
      <c r="F6" s="57">
        <v>0.15</v>
      </c>
      <c r="G6" s="107">
        <f t="shared" si="1"/>
        <v>0</v>
      </c>
      <c r="H6" s="119">
        <f t="shared" si="2"/>
        <v>0</v>
      </c>
      <c r="I6" s="42"/>
      <c r="J6" s="146">
        <v>2</v>
      </c>
    </row>
    <row r="7" spans="1:10" ht="17" x14ac:dyDescent="0.2">
      <c r="A7" s="52">
        <v>41312</v>
      </c>
      <c r="B7" s="53">
        <f t="shared" si="0"/>
        <v>2013</v>
      </c>
      <c r="C7" s="58" t="s">
        <v>231</v>
      </c>
      <c r="D7" s="55" t="s">
        <v>129</v>
      </c>
      <c r="E7" s="62">
        <v>335</v>
      </c>
      <c r="F7" s="57">
        <v>0.15</v>
      </c>
      <c r="G7" s="107">
        <f t="shared" ref="G7" si="3">E7*F7</f>
        <v>50.25</v>
      </c>
      <c r="H7" s="119">
        <f t="shared" ref="H7" si="4">E7+G7</f>
        <v>385.25</v>
      </c>
      <c r="I7" s="42"/>
      <c r="J7" s="146">
        <v>0</v>
      </c>
    </row>
    <row r="8" spans="1:10" ht="17" x14ac:dyDescent="0.2">
      <c r="A8" s="52">
        <v>41312</v>
      </c>
      <c r="B8" s="53">
        <f t="shared" si="0"/>
        <v>2013</v>
      </c>
      <c r="C8" s="58" t="s">
        <v>232</v>
      </c>
      <c r="D8" s="55" t="s">
        <v>288</v>
      </c>
      <c r="E8" s="62"/>
      <c r="F8" s="57">
        <v>0.15</v>
      </c>
      <c r="G8" s="107">
        <f t="shared" ref="G8:G17" si="5">E8*F8</f>
        <v>0</v>
      </c>
      <c r="H8" s="119">
        <f t="shared" ref="H8:H17" si="6">E8+G8</f>
        <v>0</v>
      </c>
      <c r="I8" s="42"/>
      <c r="J8" s="146">
        <v>5</v>
      </c>
    </row>
    <row r="9" spans="1:10" ht="17" x14ac:dyDescent="0.2">
      <c r="A9" s="52">
        <v>41312</v>
      </c>
      <c r="B9" s="53">
        <f t="shared" si="0"/>
        <v>2013</v>
      </c>
      <c r="C9" s="58" t="s">
        <v>156</v>
      </c>
      <c r="D9" s="55" t="s">
        <v>288</v>
      </c>
      <c r="E9" s="59">
        <v>207</v>
      </c>
      <c r="F9" s="57">
        <v>0.15</v>
      </c>
      <c r="G9" s="107">
        <f t="shared" si="5"/>
        <v>31.049999999999997</v>
      </c>
      <c r="H9" s="119">
        <f t="shared" si="6"/>
        <v>238.05</v>
      </c>
      <c r="I9" s="42"/>
      <c r="J9" s="146">
        <v>3</v>
      </c>
    </row>
    <row r="10" spans="1:10" ht="17" x14ac:dyDescent="0.2">
      <c r="A10" s="52">
        <v>41312</v>
      </c>
      <c r="B10" s="53">
        <f t="shared" si="0"/>
        <v>2013</v>
      </c>
      <c r="C10" s="58" t="s">
        <v>233</v>
      </c>
      <c r="D10" s="55" t="s">
        <v>82</v>
      </c>
      <c r="E10" s="62">
        <v>1307</v>
      </c>
      <c r="F10" s="57">
        <v>0.15</v>
      </c>
      <c r="G10" s="107">
        <f t="shared" ref="G10" si="7">E10*F10</f>
        <v>196.04999999999998</v>
      </c>
      <c r="H10" s="119">
        <f t="shared" ref="H10" si="8">E10+G10</f>
        <v>1503.05</v>
      </c>
      <c r="I10" s="42"/>
      <c r="J10" s="6">
        <v>0</v>
      </c>
    </row>
    <row r="11" spans="1:10" ht="17" x14ac:dyDescent="0.2">
      <c r="A11" s="52">
        <v>41312</v>
      </c>
      <c r="B11" s="53">
        <f t="shared" si="0"/>
        <v>2013</v>
      </c>
      <c r="C11" s="58" t="s">
        <v>234</v>
      </c>
      <c r="D11" s="55" t="s">
        <v>288</v>
      </c>
      <c r="E11" s="62"/>
      <c r="F11" s="57">
        <v>0.15</v>
      </c>
      <c r="G11" s="107">
        <f t="shared" si="5"/>
        <v>0</v>
      </c>
      <c r="H11" s="119">
        <f t="shared" si="6"/>
        <v>0</v>
      </c>
      <c r="I11" s="42"/>
      <c r="J11" s="6">
        <v>19.5</v>
      </c>
    </row>
    <row r="12" spans="1:10" ht="17" x14ac:dyDescent="0.2">
      <c r="A12" s="52">
        <v>41312</v>
      </c>
      <c r="B12" s="53">
        <f t="shared" si="0"/>
        <v>2013</v>
      </c>
      <c r="C12" s="58" t="s">
        <v>185</v>
      </c>
      <c r="D12" s="55" t="s">
        <v>129</v>
      </c>
      <c r="E12" s="62">
        <v>275</v>
      </c>
      <c r="F12" s="57">
        <v>0.15</v>
      </c>
      <c r="G12" s="107">
        <f t="shared" ref="G12" si="9">E12*F12</f>
        <v>41.25</v>
      </c>
      <c r="H12" s="119">
        <f t="shared" ref="H12" si="10">E12+G12</f>
        <v>316.25</v>
      </c>
      <c r="I12" s="42"/>
      <c r="J12" s="6">
        <v>0</v>
      </c>
    </row>
    <row r="13" spans="1:10" ht="17" x14ac:dyDescent="0.2">
      <c r="A13" s="52">
        <v>41312</v>
      </c>
      <c r="B13" s="53">
        <f t="shared" si="0"/>
        <v>2013</v>
      </c>
      <c r="C13" s="58" t="s">
        <v>186</v>
      </c>
      <c r="D13" s="55" t="s">
        <v>288</v>
      </c>
      <c r="E13" s="62"/>
      <c r="F13" s="57">
        <v>0.15</v>
      </c>
      <c r="G13" s="107">
        <f t="shared" si="5"/>
        <v>0</v>
      </c>
      <c r="H13" s="119">
        <f t="shared" si="6"/>
        <v>0</v>
      </c>
      <c r="I13" s="42"/>
      <c r="J13" s="146">
        <v>4</v>
      </c>
    </row>
    <row r="14" spans="1:10" ht="17" x14ac:dyDescent="0.2">
      <c r="A14" s="52">
        <v>41312</v>
      </c>
      <c r="B14" s="53">
        <f t="shared" si="0"/>
        <v>2013</v>
      </c>
      <c r="C14" s="58" t="s">
        <v>187</v>
      </c>
      <c r="D14" s="55" t="s">
        <v>129</v>
      </c>
      <c r="E14" s="62">
        <v>93</v>
      </c>
      <c r="F14" s="57">
        <v>0.15</v>
      </c>
      <c r="G14" s="107">
        <f t="shared" ref="G14" si="11">E14*F14</f>
        <v>13.95</v>
      </c>
      <c r="H14" s="119">
        <f t="shared" ref="H14" si="12">E14+G14</f>
        <v>106.95</v>
      </c>
      <c r="I14" s="42"/>
      <c r="J14" s="6">
        <v>0</v>
      </c>
    </row>
    <row r="15" spans="1:10" ht="17" x14ac:dyDescent="0.2">
      <c r="A15" s="52">
        <v>41312</v>
      </c>
      <c r="B15" s="53">
        <f t="shared" si="0"/>
        <v>2013</v>
      </c>
      <c r="C15" s="58" t="s">
        <v>188</v>
      </c>
      <c r="D15" s="55" t="s">
        <v>288</v>
      </c>
      <c r="E15" s="62"/>
      <c r="F15" s="57">
        <v>0.15</v>
      </c>
      <c r="G15" s="107">
        <f t="shared" si="5"/>
        <v>0</v>
      </c>
      <c r="H15" s="119">
        <f t="shared" si="6"/>
        <v>0</v>
      </c>
      <c r="I15" s="42"/>
      <c r="J15" s="6">
        <v>1.5</v>
      </c>
    </row>
    <row r="16" spans="1:10" ht="17" x14ac:dyDescent="0.2">
      <c r="A16" s="52">
        <v>41312</v>
      </c>
      <c r="B16" s="53">
        <f t="shared" si="0"/>
        <v>2013</v>
      </c>
      <c r="C16" s="58" t="s">
        <v>189</v>
      </c>
      <c r="D16" s="55" t="s">
        <v>129</v>
      </c>
      <c r="E16" s="156">
        <v>200</v>
      </c>
      <c r="F16" s="57">
        <v>0.15</v>
      </c>
      <c r="G16" s="107">
        <f t="shared" ref="G16" si="13">E16*F16</f>
        <v>30</v>
      </c>
      <c r="H16" s="157">
        <f t="shared" ref="H16" si="14">E16+G16</f>
        <v>230</v>
      </c>
      <c r="I16" s="42"/>
      <c r="J16" s="6">
        <v>0</v>
      </c>
    </row>
    <row r="17" spans="1:10" ht="17" x14ac:dyDescent="0.2">
      <c r="A17" s="63">
        <v>41312</v>
      </c>
      <c r="B17" s="64">
        <f t="shared" si="0"/>
        <v>2013</v>
      </c>
      <c r="C17" s="65" t="s">
        <v>190</v>
      </c>
      <c r="D17" s="55" t="s">
        <v>288</v>
      </c>
      <c r="E17" s="67"/>
      <c r="F17" s="68">
        <v>0.15</v>
      </c>
      <c r="G17" s="108">
        <f t="shared" si="5"/>
        <v>0</v>
      </c>
      <c r="H17" s="120">
        <f t="shared" si="6"/>
        <v>0</v>
      </c>
      <c r="I17" s="43"/>
      <c r="J17" s="146">
        <v>3</v>
      </c>
    </row>
    <row r="18" spans="1:10" ht="17" x14ac:dyDescent="0.2">
      <c r="A18" s="52">
        <v>41386</v>
      </c>
      <c r="B18" s="53">
        <f t="shared" si="0"/>
        <v>2013</v>
      </c>
      <c r="C18" s="70" t="s">
        <v>81</v>
      </c>
      <c r="D18" s="55"/>
      <c r="E18" s="62"/>
      <c r="F18" s="57"/>
      <c r="G18" s="109"/>
      <c r="H18" s="121"/>
      <c r="I18" s="42"/>
      <c r="J18" s="6">
        <v>0</v>
      </c>
    </row>
    <row r="19" spans="1:10" ht="17" x14ac:dyDescent="0.2">
      <c r="A19" s="52">
        <v>41386</v>
      </c>
      <c r="B19" s="53">
        <f t="shared" si="0"/>
        <v>2013</v>
      </c>
      <c r="C19" s="58" t="s">
        <v>11</v>
      </c>
      <c r="D19" s="55" t="s">
        <v>89</v>
      </c>
      <c r="E19" s="71">
        <v>14.65</v>
      </c>
      <c r="F19" s="57">
        <v>0.15</v>
      </c>
      <c r="G19" s="109">
        <f t="shared" ref="G19:G21" si="15">E19*F19</f>
        <v>2.1974999999999998</v>
      </c>
      <c r="H19" s="121">
        <f t="shared" ref="H19:H21" si="16">E19+G19</f>
        <v>16.8475</v>
      </c>
      <c r="I19" s="42"/>
      <c r="J19" s="6">
        <v>0</v>
      </c>
    </row>
    <row r="20" spans="1:10" ht="17" x14ac:dyDescent="0.2">
      <c r="A20" s="52">
        <v>41386</v>
      </c>
      <c r="B20" s="53">
        <f t="shared" si="0"/>
        <v>2013</v>
      </c>
      <c r="C20" s="58" t="s">
        <v>229</v>
      </c>
      <c r="D20" s="55" t="s">
        <v>129</v>
      </c>
      <c r="E20" s="156">
        <v>201</v>
      </c>
      <c r="F20" s="57">
        <v>0.15</v>
      </c>
      <c r="G20" s="138">
        <f t="shared" ref="G20" si="17">E20*F20</f>
        <v>30.15</v>
      </c>
      <c r="H20" s="139">
        <f t="shared" ref="H20" si="18">E20+G20</f>
        <v>231.15</v>
      </c>
      <c r="I20" s="42"/>
      <c r="J20" s="146">
        <v>0</v>
      </c>
    </row>
    <row r="21" spans="1:10" ht="17" x14ac:dyDescent="0.2">
      <c r="A21" s="63">
        <v>41386</v>
      </c>
      <c r="B21" s="64">
        <f t="shared" si="0"/>
        <v>2013</v>
      </c>
      <c r="C21" s="65" t="s">
        <v>230</v>
      </c>
      <c r="D21" s="55" t="s">
        <v>288</v>
      </c>
      <c r="E21" s="67"/>
      <c r="F21" s="68">
        <v>0.15</v>
      </c>
      <c r="G21" s="110">
        <f t="shared" si="15"/>
        <v>0</v>
      </c>
      <c r="H21" s="122">
        <f t="shared" si="16"/>
        <v>0</v>
      </c>
      <c r="I21" s="43"/>
      <c r="J21" s="146">
        <v>3</v>
      </c>
    </row>
    <row r="22" spans="1:10" ht="17" x14ac:dyDescent="0.2">
      <c r="A22" s="72">
        <v>41476</v>
      </c>
      <c r="B22" s="141">
        <f t="shared" si="0"/>
        <v>2013</v>
      </c>
      <c r="C22" s="73" t="s">
        <v>12</v>
      </c>
      <c r="D22" s="55"/>
      <c r="E22" s="53"/>
      <c r="F22" s="53"/>
      <c r="H22" s="56"/>
      <c r="I22" s="42"/>
      <c r="J22" s="6">
        <v>0</v>
      </c>
    </row>
    <row r="23" spans="1:10" ht="17" x14ac:dyDescent="0.2">
      <c r="A23" s="63">
        <v>41476</v>
      </c>
      <c r="B23" s="64">
        <f t="shared" si="0"/>
        <v>2013</v>
      </c>
      <c r="C23" s="65" t="s">
        <v>13</v>
      </c>
      <c r="D23" s="66" t="s">
        <v>83</v>
      </c>
      <c r="E23" s="69">
        <v>335</v>
      </c>
      <c r="F23" s="68">
        <v>0.17</v>
      </c>
      <c r="G23" s="110">
        <f t="shared" ref="G23" si="19">E23*F23</f>
        <v>56.95</v>
      </c>
      <c r="H23" s="122">
        <f t="shared" ref="H23" si="20">E23+G23</f>
        <v>391.95</v>
      </c>
      <c r="I23" s="43"/>
      <c r="J23" s="6">
        <v>0</v>
      </c>
    </row>
    <row r="24" spans="1:10" ht="17" x14ac:dyDescent="0.2">
      <c r="A24" s="52">
        <v>41476</v>
      </c>
      <c r="B24" s="53">
        <f t="shared" si="0"/>
        <v>2013</v>
      </c>
      <c r="C24" s="73" t="s">
        <v>91</v>
      </c>
      <c r="D24" s="55"/>
      <c r="E24" s="53"/>
      <c r="F24" s="53"/>
      <c r="H24" s="56"/>
      <c r="I24" s="42"/>
      <c r="J24" s="6">
        <v>0</v>
      </c>
    </row>
    <row r="25" spans="1:10" ht="17" x14ac:dyDescent="0.2">
      <c r="A25" s="63">
        <v>41476</v>
      </c>
      <c r="B25" s="64">
        <f t="shared" si="0"/>
        <v>2013</v>
      </c>
      <c r="C25" s="65" t="s">
        <v>14</v>
      </c>
      <c r="D25" s="66" t="s">
        <v>83</v>
      </c>
      <c r="E25" s="74">
        <v>200</v>
      </c>
      <c r="F25" s="68">
        <v>0.15</v>
      </c>
      <c r="G25" s="110">
        <f t="shared" ref="G25" si="21">E25*F25</f>
        <v>30</v>
      </c>
      <c r="H25" s="122">
        <f t="shared" ref="H25" si="22">E25+G25</f>
        <v>230</v>
      </c>
      <c r="I25" s="43"/>
      <c r="J25" s="6">
        <v>0</v>
      </c>
    </row>
    <row r="26" spans="1:10" ht="17" x14ac:dyDescent="0.2">
      <c r="A26" s="52">
        <v>41476</v>
      </c>
      <c r="B26" s="53">
        <f t="shared" si="0"/>
        <v>2013</v>
      </c>
      <c r="C26" s="70" t="s">
        <v>157</v>
      </c>
      <c r="D26" s="55"/>
      <c r="E26" s="53"/>
      <c r="F26" s="53"/>
      <c r="H26" s="56"/>
      <c r="I26" s="42"/>
      <c r="J26" s="6">
        <v>0</v>
      </c>
    </row>
    <row r="27" spans="1:10" ht="17" x14ac:dyDescent="0.2">
      <c r="A27" s="52">
        <v>41476</v>
      </c>
      <c r="B27" s="53">
        <f t="shared" si="0"/>
        <v>2013</v>
      </c>
      <c r="C27" s="58" t="s">
        <v>15</v>
      </c>
      <c r="D27" s="55" t="s">
        <v>129</v>
      </c>
      <c r="E27" s="75">
        <v>37.76</v>
      </c>
      <c r="F27" s="57">
        <v>0.15</v>
      </c>
      <c r="G27" s="109">
        <f t="shared" ref="G27:G28" si="23">E27*F27</f>
        <v>5.6639999999999997</v>
      </c>
      <c r="H27" s="121">
        <f t="shared" ref="H27:H28" si="24">E27+G27</f>
        <v>43.423999999999999</v>
      </c>
      <c r="I27" s="42"/>
      <c r="J27" s="6">
        <v>0</v>
      </c>
    </row>
    <row r="28" spans="1:10" s="16" customFormat="1" ht="34" x14ac:dyDescent="0.2">
      <c r="A28" s="79">
        <v>41476</v>
      </c>
      <c r="B28" s="80">
        <f t="shared" si="0"/>
        <v>2013</v>
      </c>
      <c r="C28" s="58" t="s">
        <v>227</v>
      </c>
      <c r="D28" s="81" t="s">
        <v>129</v>
      </c>
      <c r="E28" s="155">
        <v>368.5</v>
      </c>
      <c r="F28" s="82">
        <v>0.15</v>
      </c>
      <c r="G28" s="134">
        <f t="shared" si="23"/>
        <v>55.274999999999999</v>
      </c>
      <c r="H28" s="135">
        <f t="shared" si="24"/>
        <v>423.77499999999998</v>
      </c>
      <c r="I28" s="44"/>
      <c r="J28" s="26">
        <v>0</v>
      </c>
    </row>
    <row r="29" spans="1:10" s="16" customFormat="1" ht="17" x14ac:dyDescent="0.2">
      <c r="A29" s="91">
        <v>41476</v>
      </c>
      <c r="B29" s="164">
        <f t="shared" si="0"/>
        <v>2013</v>
      </c>
      <c r="C29" s="65" t="s">
        <v>228</v>
      </c>
      <c r="D29" s="55" t="s">
        <v>288</v>
      </c>
      <c r="E29" s="93"/>
      <c r="F29" s="94">
        <v>0.15</v>
      </c>
      <c r="G29" s="33">
        <f t="shared" ref="G29:G37" si="25">E29*F29</f>
        <v>0</v>
      </c>
      <c r="H29" s="125">
        <f t="shared" ref="H29:H37" si="26">E29+G29</f>
        <v>0</v>
      </c>
      <c r="I29" s="45"/>
      <c r="J29" s="26">
        <v>5.5</v>
      </c>
    </row>
    <row r="30" spans="1:10" ht="17" x14ac:dyDescent="0.2">
      <c r="A30" s="52">
        <v>41481</v>
      </c>
      <c r="B30" s="53">
        <f t="shared" si="0"/>
        <v>2013</v>
      </c>
      <c r="C30" s="70" t="s">
        <v>92</v>
      </c>
      <c r="D30" s="55"/>
      <c r="E30" s="53"/>
      <c r="F30" s="57"/>
      <c r="G30" s="109"/>
      <c r="H30" s="121"/>
      <c r="I30" s="42"/>
      <c r="J30" s="6">
        <v>0</v>
      </c>
    </row>
    <row r="31" spans="1:10" x14ac:dyDescent="0.2">
      <c r="A31" s="63">
        <v>41481</v>
      </c>
      <c r="B31" s="64">
        <f t="shared" si="0"/>
        <v>2013</v>
      </c>
      <c r="C31" s="76" t="s">
        <v>16</v>
      </c>
      <c r="D31" s="66" t="s">
        <v>83</v>
      </c>
      <c r="E31" s="74">
        <v>730</v>
      </c>
      <c r="F31" s="68">
        <v>0.15</v>
      </c>
      <c r="G31" s="110">
        <f t="shared" si="25"/>
        <v>109.5</v>
      </c>
      <c r="H31" s="122">
        <f t="shared" si="26"/>
        <v>839.5</v>
      </c>
      <c r="I31" s="43"/>
      <c r="J31" s="6">
        <v>0</v>
      </c>
    </row>
    <row r="32" spans="1:10" ht="17" x14ac:dyDescent="0.2">
      <c r="A32" s="52">
        <v>41504</v>
      </c>
      <c r="B32" s="53">
        <f t="shared" si="0"/>
        <v>2013</v>
      </c>
      <c r="C32" s="70" t="s">
        <v>17</v>
      </c>
      <c r="D32" s="55"/>
      <c r="E32" s="75"/>
      <c r="F32" s="57"/>
      <c r="G32" s="109"/>
      <c r="H32" s="121"/>
      <c r="I32" s="42"/>
      <c r="J32" s="6">
        <v>0</v>
      </c>
    </row>
    <row r="33" spans="1:10" ht="17" x14ac:dyDescent="0.2">
      <c r="A33" s="63">
        <v>41504</v>
      </c>
      <c r="B33" s="64">
        <f t="shared" si="0"/>
        <v>2013</v>
      </c>
      <c r="C33" s="65" t="s">
        <v>18</v>
      </c>
      <c r="D33" s="66" t="s">
        <v>83</v>
      </c>
      <c r="E33" s="74">
        <v>379.85</v>
      </c>
      <c r="F33" s="68">
        <v>0.15</v>
      </c>
      <c r="G33" s="110">
        <f t="shared" si="25"/>
        <v>56.977499999999999</v>
      </c>
      <c r="H33" s="122">
        <f t="shared" si="26"/>
        <v>436.82750000000004</v>
      </c>
      <c r="I33" s="43"/>
      <c r="J33" s="6">
        <v>0</v>
      </c>
    </row>
    <row r="34" spans="1:10" ht="17" x14ac:dyDescent="0.2">
      <c r="A34" s="52">
        <v>41504</v>
      </c>
      <c r="B34" s="53">
        <f t="shared" si="0"/>
        <v>2013</v>
      </c>
      <c r="C34" s="70" t="s">
        <v>19</v>
      </c>
      <c r="D34" s="55"/>
      <c r="E34" s="53"/>
      <c r="F34" s="57"/>
      <c r="G34" s="109"/>
      <c r="H34" s="121"/>
      <c r="I34" s="42"/>
      <c r="J34" s="6">
        <v>0</v>
      </c>
    </row>
    <row r="35" spans="1:10" ht="17" x14ac:dyDescent="0.2">
      <c r="A35" s="63">
        <v>41504</v>
      </c>
      <c r="B35" s="64">
        <f t="shared" si="0"/>
        <v>2013</v>
      </c>
      <c r="C35" s="65" t="s">
        <v>20</v>
      </c>
      <c r="D35" s="66" t="s">
        <v>83</v>
      </c>
      <c r="E35" s="77">
        <v>122.09</v>
      </c>
      <c r="F35" s="68">
        <v>0.15</v>
      </c>
      <c r="G35" s="110">
        <f t="shared" si="25"/>
        <v>18.313500000000001</v>
      </c>
      <c r="H35" s="122">
        <f t="shared" si="26"/>
        <v>140.40350000000001</v>
      </c>
      <c r="I35" s="43"/>
      <c r="J35" s="6">
        <v>0</v>
      </c>
    </row>
    <row r="36" spans="1:10" ht="17" x14ac:dyDescent="0.2">
      <c r="A36" s="52">
        <v>41709</v>
      </c>
      <c r="B36" s="53">
        <f t="shared" si="0"/>
        <v>2014</v>
      </c>
      <c r="C36" s="70" t="s">
        <v>21</v>
      </c>
      <c r="D36" s="55"/>
      <c r="E36" s="53"/>
      <c r="F36" s="57"/>
      <c r="G36" s="109"/>
      <c r="H36" s="121"/>
      <c r="I36" s="42"/>
      <c r="J36" s="6">
        <v>0</v>
      </c>
    </row>
    <row r="37" spans="1:10" ht="17" x14ac:dyDescent="0.2">
      <c r="A37" s="52">
        <v>41709</v>
      </c>
      <c r="B37" s="53">
        <f t="shared" si="0"/>
        <v>2014</v>
      </c>
      <c r="C37" s="58" t="s">
        <v>131</v>
      </c>
      <c r="D37" s="55" t="s">
        <v>89</v>
      </c>
      <c r="E37" s="78">
        <f>581+150</f>
        <v>731</v>
      </c>
      <c r="F37" s="57">
        <v>0.15</v>
      </c>
      <c r="G37" s="109">
        <f t="shared" si="25"/>
        <v>109.64999999999999</v>
      </c>
      <c r="H37" s="121">
        <f t="shared" si="26"/>
        <v>840.65</v>
      </c>
      <c r="I37" s="42"/>
      <c r="J37" s="6">
        <v>0</v>
      </c>
    </row>
    <row r="38" spans="1:10" ht="17" x14ac:dyDescent="0.2">
      <c r="A38" s="52">
        <v>41709</v>
      </c>
      <c r="B38" s="53">
        <f t="shared" si="0"/>
        <v>2014</v>
      </c>
      <c r="C38" s="58" t="s">
        <v>22</v>
      </c>
      <c r="D38" s="55" t="s">
        <v>275</v>
      </c>
      <c r="E38" s="78">
        <v>123.98</v>
      </c>
      <c r="F38" s="57">
        <v>0.15</v>
      </c>
      <c r="G38" s="109">
        <f t="shared" ref="G38:G46" si="27">E38*F38</f>
        <v>18.597000000000001</v>
      </c>
      <c r="H38" s="121">
        <f t="shared" ref="H38:H46" si="28">E38+G38</f>
        <v>142.577</v>
      </c>
      <c r="I38" s="42"/>
      <c r="J38" s="6">
        <v>0</v>
      </c>
    </row>
    <row r="39" spans="1:10" ht="17" x14ac:dyDescent="0.2">
      <c r="A39" s="52">
        <v>41709</v>
      </c>
      <c r="B39" s="53">
        <f t="shared" si="0"/>
        <v>2014</v>
      </c>
      <c r="C39" s="58" t="s">
        <v>132</v>
      </c>
      <c r="D39" s="55" t="s">
        <v>129</v>
      </c>
      <c r="E39" s="78">
        <v>480</v>
      </c>
      <c r="F39" s="57">
        <v>0.15</v>
      </c>
      <c r="G39" s="109">
        <f t="shared" si="27"/>
        <v>72</v>
      </c>
      <c r="H39" s="121">
        <f t="shared" si="28"/>
        <v>552</v>
      </c>
      <c r="I39" s="42"/>
      <c r="J39" s="6">
        <v>0</v>
      </c>
    </row>
    <row r="40" spans="1:10" ht="17" x14ac:dyDescent="0.2">
      <c r="A40" s="52">
        <v>41709</v>
      </c>
      <c r="B40" s="53">
        <f t="shared" si="0"/>
        <v>2014</v>
      </c>
      <c r="C40" s="58" t="s">
        <v>133</v>
      </c>
      <c r="D40" s="55" t="s">
        <v>129</v>
      </c>
      <c r="E40" s="78">
        <v>1627.56</v>
      </c>
      <c r="F40" s="57">
        <v>0.15</v>
      </c>
      <c r="G40" s="109">
        <f t="shared" si="27"/>
        <v>244.13399999999999</v>
      </c>
      <c r="H40" s="121">
        <f t="shared" si="28"/>
        <v>1871.694</v>
      </c>
      <c r="I40" s="42"/>
      <c r="J40" s="6">
        <v>0</v>
      </c>
    </row>
    <row r="41" spans="1:10" ht="17" x14ac:dyDescent="0.2">
      <c r="A41" s="52">
        <v>41709</v>
      </c>
      <c r="B41" s="53">
        <f t="shared" si="0"/>
        <v>2014</v>
      </c>
      <c r="C41" s="58" t="s">
        <v>134</v>
      </c>
      <c r="D41" s="55" t="s">
        <v>129</v>
      </c>
      <c r="E41" s="78">
        <v>161.93</v>
      </c>
      <c r="F41" s="57">
        <v>0.15</v>
      </c>
      <c r="G41" s="109">
        <f t="shared" si="27"/>
        <v>24.2895</v>
      </c>
      <c r="H41" s="121">
        <f t="shared" si="28"/>
        <v>186.21950000000001</v>
      </c>
      <c r="I41" s="42"/>
      <c r="J41" s="6">
        <v>0</v>
      </c>
    </row>
    <row r="42" spans="1:10" ht="17" x14ac:dyDescent="0.2">
      <c r="A42" s="52">
        <v>41709</v>
      </c>
      <c r="B42" s="53">
        <f t="shared" si="0"/>
        <v>2014</v>
      </c>
      <c r="C42" s="58" t="s">
        <v>135</v>
      </c>
      <c r="D42" s="55" t="s">
        <v>129</v>
      </c>
      <c r="E42" s="78">
        <v>463.1</v>
      </c>
      <c r="F42" s="57">
        <v>0.15</v>
      </c>
      <c r="G42" s="109">
        <f t="shared" si="27"/>
        <v>69.465000000000003</v>
      </c>
      <c r="H42" s="121">
        <f t="shared" si="28"/>
        <v>532.56500000000005</v>
      </c>
      <c r="I42" s="42"/>
      <c r="J42" s="6">
        <v>0</v>
      </c>
    </row>
    <row r="43" spans="1:10" ht="17" x14ac:dyDescent="0.2">
      <c r="A43" s="52">
        <v>41709</v>
      </c>
      <c r="B43" s="53">
        <f t="shared" si="0"/>
        <v>2014</v>
      </c>
      <c r="C43" s="58" t="s">
        <v>136</v>
      </c>
      <c r="D43" s="55" t="s">
        <v>129</v>
      </c>
      <c r="E43" s="78">
        <v>91.66</v>
      </c>
      <c r="F43" s="57">
        <v>0.15</v>
      </c>
      <c r="G43" s="109">
        <f t="shared" si="27"/>
        <v>13.748999999999999</v>
      </c>
      <c r="H43" s="121">
        <f t="shared" si="28"/>
        <v>105.40899999999999</v>
      </c>
      <c r="I43" s="42"/>
      <c r="J43" s="6">
        <v>0</v>
      </c>
    </row>
    <row r="44" spans="1:10" ht="17" x14ac:dyDescent="0.2">
      <c r="A44" s="52">
        <v>41709</v>
      </c>
      <c r="B44" s="53">
        <f t="shared" si="0"/>
        <v>2014</v>
      </c>
      <c r="C44" s="58" t="s">
        <v>23</v>
      </c>
      <c r="D44" s="55" t="s">
        <v>129</v>
      </c>
      <c r="E44" s="78">
        <v>326.78000000000065</v>
      </c>
      <c r="F44" s="57">
        <v>0.15</v>
      </c>
      <c r="G44" s="109">
        <f t="shared" si="27"/>
        <v>49.017000000000095</v>
      </c>
      <c r="H44" s="121">
        <f t="shared" si="28"/>
        <v>375.79700000000076</v>
      </c>
      <c r="I44" s="42"/>
      <c r="J44" s="6">
        <v>0</v>
      </c>
    </row>
    <row r="45" spans="1:10" ht="17" x14ac:dyDescent="0.2">
      <c r="A45" s="52">
        <v>41709</v>
      </c>
      <c r="B45" s="53">
        <f t="shared" si="0"/>
        <v>2014</v>
      </c>
      <c r="C45" s="58" t="s">
        <v>24</v>
      </c>
      <c r="D45" s="55" t="s">
        <v>326</v>
      </c>
      <c r="E45" s="78">
        <v>-1800</v>
      </c>
      <c r="F45" s="57">
        <v>0.15</v>
      </c>
      <c r="G45" s="109">
        <f t="shared" si="27"/>
        <v>-270</v>
      </c>
      <c r="H45" s="121">
        <f t="shared" si="28"/>
        <v>-2070</v>
      </c>
      <c r="I45" s="42"/>
      <c r="J45" s="6">
        <v>0</v>
      </c>
    </row>
    <row r="46" spans="1:10" s="16" customFormat="1" ht="34" x14ac:dyDescent="0.2">
      <c r="A46" s="79">
        <v>41709</v>
      </c>
      <c r="B46" s="80">
        <f t="shared" si="0"/>
        <v>2014</v>
      </c>
      <c r="C46" s="58" t="s">
        <v>223</v>
      </c>
      <c r="D46" s="81" t="s">
        <v>85</v>
      </c>
      <c r="E46" s="78">
        <v>2485</v>
      </c>
      <c r="F46" s="82">
        <v>0.15</v>
      </c>
      <c r="G46" s="111">
        <f t="shared" si="27"/>
        <v>372.75</v>
      </c>
      <c r="H46" s="123">
        <f t="shared" si="28"/>
        <v>2857.75</v>
      </c>
      <c r="I46" s="44"/>
      <c r="J46" s="144">
        <v>0</v>
      </c>
    </row>
    <row r="47" spans="1:10" s="16" customFormat="1" ht="17" x14ac:dyDescent="0.2">
      <c r="A47" s="79">
        <v>41709</v>
      </c>
      <c r="B47" s="80">
        <f t="shared" si="0"/>
        <v>2014</v>
      </c>
      <c r="C47" s="58" t="s">
        <v>224</v>
      </c>
      <c r="D47" s="55" t="s">
        <v>288</v>
      </c>
      <c r="E47" s="78"/>
      <c r="F47" s="82">
        <v>0.15</v>
      </c>
      <c r="G47" s="111">
        <f t="shared" ref="G47:G56" si="29">E47*F47</f>
        <v>0</v>
      </c>
      <c r="H47" s="123">
        <f t="shared" ref="H47:H56" si="30">E47+G47</f>
        <v>0</v>
      </c>
      <c r="I47" s="44"/>
      <c r="J47" s="144">
        <v>35</v>
      </c>
    </row>
    <row r="48" spans="1:10" ht="17" x14ac:dyDescent="0.2">
      <c r="A48" s="52">
        <v>41709</v>
      </c>
      <c r="B48" s="53">
        <f t="shared" si="0"/>
        <v>2014</v>
      </c>
      <c r="C48" s="58" t="s">
        <v>156</v>
      </c>
      <c r="D48" s="55" t="s">
        <v>288</v>
      </c>
      <c r="E48" s="78">
        <v>219</v>
      </c>
      <c r="F48" s="57">
        <v>0.15</v>
      </c>
      <c r="G48" s="109">
        <f t="shared" si="29"/>
        <v>32.85</v>
      </c>
      <c r="H48" s="121">
        <f t="shared" si="30"/>
        <v>251.85</v>
      </c>
      <c r="I48" s="42"/>
      <c r="J48" s="146">
        <v>3</v>
      </c>
    </row>
    <row r="49" spans="1:10" ht="17" x14ac:dyDescent="0.2">
      <c r="A49" s="52">
        <v>41709</v>
      </c>
      <c r="B49" s="53">
        <f t="shared" si="0"/>
        <v>2014</v>
      </c>
      <c r="C49" s="58" t="s">
        <v>225</v>
      </c>
      <c r="D49" s="81" t="s">
        <v>82</v>
      </c>
      <c r="E49" s="78">
        <v>1456</v>
      </c>
      <c r="F49" s="57">
        <v>0.15</v>
      </c>
      <c r="G49" s="109">
        <f t="shared" ref="G49" si="31">E49*F49</f>
        <v>218.4</v>
      </c>
      <c r="H49" s="121">
        <f t="shared" ref="H49" si="32">E49+G49</f>
        <v>1674.4</v>
      </c>
      <c r="I49" s="42"/>
      <c r="J49" s="6">
        <v>0</v>
      </c>
    </row>
    <row r="50" spans="1:10" ht="17" x14ac:dyDescent="0.2">
      <c r="A50" s="52">
        <v>41709</v>
      </c>
      <c r="B50" s="53">
        <f t="shared" si="0"/>
        <v>2014</v>
      </c>
      <c r="C50" s="58" t="s">
        <v>226</v>
      </c>
      <c r="D50" s="55" t="s">
        <v>288</v>
      </c>
      <c r="E50" s="78"/>
      <c r="F50" s="57">
        <v>0.15</v>
      </c>
      <c r="G50" s="109">
        <f t="shared" si="29"/>
        <v>0</v>
      </c>
      <c r="H50" s="121">
        <f t="shared" si="30"/>
        <v>0</v>
      </c>
      <c r="I50" s="42"/>
      <c r="J50" s="6">
        <v>19.5</v>
      </c>
    </row>
    <row r="51" spans="1:10" ht="17" x14ac:dyDescent="0.2">
      <c r="A51" s="52">
        <v>41709</v>
      </c>
      <c r="B51" s="53">
        <f t="shared" si="0"/>
        <v>2014</v>
      </c>
      <c r="C51" s="58" t="s">
        <v>169</v>
      </c>
      <c r="D51" s="55" t="s">
        <v>129</v>
      </c>
      <c r="E51" s="151">
        <v>285</v>
      </c>
      <c r="F51" s="57">
        <v>0.15</v>
      </c>
      <c r="G51" s="138">
        <f t="shared" ref="G51" si="33">E51*F51</f>
        <v>42.75</v>
      </c>
      <c r="H51" s="139">
        <f t="shared" ref="H51" si="34">E51+G51</f>
        <v>327.75</v>
      </c>
      <c r="I51" s="42"/>
      <c r="J51" s="6">
        <v>0</v>
      </c>
    </row>
    <row r="52" spans="1:10" ht="17" x14ac:dyDescent="0.2">
      <c r="A52" s="63">
        <v>41709</v>
      </c>
      <c r="B52" s="64">
        <f t="shared" si="0"/>
        <v>2014</v>
      </c>
      <c r="C52" s="65" t="s">
        <v>170</v>
      </c>
      <c r="D52" s="55" t="s">
        <v>288</v>
      </c>
      <c r="E52" s="83"/>
      <c r="F52" s="68">
        <v>0.15</v>
      </c>
      <c r="G52" s="110">
        <f t="shared" si="29"/>
        <v>0</v>
      </c>
      <c r="H52" s="122">
        <f t="shared" si="30"/>
        <v>0</v>
      </c>
      <c r="I52" s="43"/>
      <c r="J52" s="146">
        <v>4</v>
      </c>
    </row>
    <row r="53" spans="1:10" ht="17" x14ac:dyDescent="0.2">
      <c r="A53" s="52">
        <v>41804</v>
      </c>
      <c r="B53" s="53">
        <f t="shared" si="0"/>
        <v>2014</v>
      </c>
      <c r="C53" s="70" t="s">
        <v>93</v>
      </c>
      <c r="D53" s="55"/>
      <c r="E53" s="53"/>
      <c r="F53" s="57"/>
      <c r="G53" s="109"/>
      <c r="H53" s="121"/>
      <c r="I53" s="42"/>
      <c r="J53" s="6">
        <v>0</v>
      </c>
    </row>
    <row r="54" spans="1:10" ht="17" x14ac:dyDescent="0.2">
      <c r="A54" s="52">
        <v>41804</v>
      </c>
      <c r="B54" s="53">
        <f t="shared" si="0"/>
        <v>2014</v>
      </c>
      <c r="C54" s="84" t="s">
        <v>25</v>
      </c>
      <c r="D54" s="81" t="s">
        <v>293</v>
      </c>
      <c r="E54" s="85">
        <v>4980</v>
      </c>
      <c r="F54" s="57">
        <v>0.15</v>
      </c>
      <c r="G54" s="109">
        <f t="shared" si="29"/>
        <v>747</v>
      </c>
      <c r="H54" s="121">
        <f t="shared" si="30"/>
        <v>5727</v>
      </c>
      <c r="I54" s="42"/>
      <c r="J54" s="6">
        <v>0</v>
      </c>
    </row>
    <row r="55" spans="1:10" ht="17" x14ac:dyDescent="0.2">
      <c r="A55" s="52">
        <v>41804</v>
      </c>
      <c r="B55" s="53">
        <f t="shared" si="0"/>
        <v>2014</v>
      </c>
      <c r="C55" s="84" t="s">
        <v>26</v>
      </c>
      <c r="D55" s="81" t="s">
        <v>293</v>
      </c>
      <c r="E55" s="85">
        <v>350</v>
      </c>
      <c r="F55" s="57">
        <v>0.15</v>
      </c>
      <c r="G55" s="109">
        <f t="shared" si="29"/>
        <v>52.5</v>
      </c>
      <c r="H55" s="121">
        <f t="shared" si="30"/>
        <v>402.5</v>
      </c>
      <c r="I55" s="42"/>
      <c r="J55" s="6">
        <v>0</v>
      </c>
    </row>
    <row r="56" spans="1:10" ht="17" x14ac:dyDescent="0.2">
      <c r="A56" s="52">
        <v>41804</v>
      </c>
      <c r="B56" s="53">
        <f t="shared" si="0"/>
        <v>2014</v>
      </c>
      <c r="C56" s="84" t="s">
        <v>220</v>
      </c>
      <c r="D56" s="81" t="s">
        <v>293</v>
      </c>
      <c r="E56" s="86">
        <v>514.75</v>
      </c>
      <c r="F56" s="57">
        <v>0.15</v>
      </c>
      <c r="G56" s="109">
        <f t="shared" si="29"/>
        <v>77.212499999999991</v>
      </c>
      <c r="H56" s="121">
        <f t="shared" si="30"/>
        <v>591.96249999999998</v>
      </c>
      <c r="I56" s="42"/>
      <c r="J56" s="6">
        <v>0</v>
      </c>
    </row>
    <row r="57" spans="1:10" ht="17" x14ac:dyDescent="0.2">
      <c r="A57" s="52">
        <v>41804</v>
      </c>
      <c r="B57" s="53">
        <f t="shared" si="0"/>
        <v>2014</v>
      </c>
      <c r="C57" s="84" t="s">
        <v>221</v>
      </c>
      <c r="D57" s="55" t="s">
        <v>288</v>
      </c>
      <c r="E57" s="86"/>
      <c r="F57" s="57">
        <v>0.15</v>
      </c>
      <c r="G57" s="109">
        <f t="shared" ref="G57:G66" si="35">E57*F57</f>
        <v>0</v>
      </c>
      <c r="H57" s="121">
        <f t="shared" ref="H57:H66" si="36">E57+G57</f>
        <v>0</v>
      </c>
      <c r="I57" s="42"/>
      <c r="J57" s="6">
        <v>7.25</v>
      </c>
    </row>
    <row r="58" spans="1:10" ht="17" x14ac:dyDescent="0.2">
      <c r="A58" s="52">
        <v>41804</v>
      </c>
      <c r="B58" s="53">
        <f t="shared" si="0"/>
        <v>2014</v>
      </c>
      <c r="C58" s="58" t="s">
        <v>219</v>
      </c>
      <c r="D58" s="81" t="s">
        <v>293</v>
      </c>
      <c r="E58" s="86">
        <v>150</v>
      </c>
      <c r="F58" s="57">
        <v>0.15</v>
      </c>
      <c r="G58" s="109">
        <f t="shared" ref="G58" si="37">E58*F58</f>
        <v>22.5</v>
      </c>
      <c r="H58" s="121">
        <f t="shared" ref="H58" si="38">E58+G58</f>
        <v>172.5</v>
      </c>
      <c r="I58" s="42"/>
      <c r="J58" s="6">
        <v>0</v>
      </c>
    </row>
    <row r="59" spans="1:10" ht="17" x14ac:dyDescent="0.2">
      <c r="A59" s="52">
        <v>41804</v>
      </c>
      <c r="B59" s="53">
        <f t="shared" si="0"/>
        <v>2014</v>
      </c>
      <c r="C59" s="58" t="s">
        <v>222</v>
      </c>
      <c r="D59" s="55" t="s">
        <v>288</v>
      </c>
      <c r="E59" s="86"/>
      <c r="F59" s="57">
        <v>0.15</v>
      </c>
      <c r="G59" s="109">
        <f t="shared" si="35"/>
        <v>0</v>
      </c>
      <c r="H59" s="121">
        <f t="shared" si="36"/>
        <v>0</v>
      </c>
      <c r="I59" s="42"/>
      <c r="J59" s="146">
        <v>2</v>
      </c>
    </row>
    <row r="60" spans="1:10" ht="17" x14ac:dyDescent="0.2">
      <c r="A60" s="63">
        <v>41804</v>
      </c>
      <c r="B60" s="64">
        <f t="shared" si="0"/>
        <v>2014</v>
      </c>
      <c r="C60" s="65" t="s">
        <v>94</v>
      </c>
      <c r="D60" s="55" t="s">
        <v>326</v>
      </c>
      <c r="E60" s="77">
        <v>-1800</v>
      </c>
      <c r="F60" s="68">
        <v>0.15</v>
      </c>
      <c r="G60" s="110">
        <f t="shared" si="35"/>
        <v>-270</v>
      </c>
      <c r="H60" s="122">
        <f t="shared" si="36"/>
        <v>-2070</v>
      </c>
      <c r="I60" s="43"/>
      <c r="J60" s="6">
        <v>0</v>
      </c>
    </row>
    <row r="61" spans="1:10" ht="17" x14ac:dyDescent="0.2">
      <c r="A61" s="52">
        <v>42209</v>
      </c>
      <c r="B61" s="53">
        <f t="shared" si="0"/>
        <v>2015</v>
      </c>
      <c r="C61" s="70" t="s">
        <v>96</v>
      </c>
      <c r="D61" s="55"/>
      <c r="E61" s="53"/>
      <c r="F61" s="57"/>
      <c r="G61" s="109"/>
      <c r="H61" s="121"/>
      <c r="I61" s="42"/>
      <c r="J61" s="6">
        <v>0</v>
      </c>
    </row>
    <row r="62" spans="1:10" ht="17" x14ac:dyDescent="0.2">
      <c r="A62" s="52">
        <v>42209</v>
      </c>
      <c r="B62" s="53">
        <f t="shared" si="0"/>
        <v>2015</v>
      </c>
      <c r="C62" s="65" t="s">
        <v>97</v>
      </c>
      <c r="D62" s="66" t="s">
        <v>291</v>
      </c>
      <c r="E62" s="122">
        <v>36550</v>
      </c>
      <c r="F62" s="68">
        <v>0</v>
      </c>
      <c r="G62" s="110">
        <f t="shared" ref="G62" si="39">E62*F62</f>
        <v>0</v>
      </c>
      <c r="H62" s="122">
        <f t="shared" ref="H62" si="40">E62+G62</f>
        <v>36550</v>
      </c>
      <c r="I62" s="43"/>
      <c r="J62" s="6">
        <v>0</v>
      </c>
    </row>
    <row r="63" spans="1:10" ht="17" x14ac:dyDescent="0.2">
      <c r="A63" s="52">
        <v>42027</v>
      </c>
      <c r="B63" s="53">
        <f t="shared" si="0"/>
        <v>2015</v>
      </c>
      <c r="C63" s="70" t="s">
        <v>27</v>
      </c>
      <c r="D63" s="55"/>
      <c r="E63" s="53"/>
      <c r="F63" s="57"/>
      <c r="G63" s="109"/>
      <c r="H63" s="121"/>
      <c r="I63" s="42"/>
      <c r="J63" s="6">
        <v>0</v>
      </c>
    </row>
    <row r="64" spans="1:10" ht="17" x14ac:dyDescent="0.2">
      <c r="A64" s="63">
        <v>42027</v>
      </c>
      <c r="B64" s="64">
        <f t="shared" si="0"/>
        <v>2015</v>
      </c>
      <c r="C64" s="65" t="s">
        <v>28</v>
      </c>
      <c r="D64" s="66" t="s">
        <v>83</v>
      </c>
      <c r="E64" s="77">
        <v>575</v>
      </c>
      <c r="F64" s="68">
        <v>0.15</v>
      </c>
      <c r="G64" s="110">
        <f t="shared" si="35"/>
        <v>86.25</v>
      </c>
      <c r="H64" s="122">
        <f t="shared" si="36"/>
        <v>661.25</v>
      </c>
      <c r="I64" s="43"/>
      <c r="J64" s="6">
        <v>0</v>
      </c>
    </row>
    <row r="65" spans="1:10" ht="17" x14ac:dyDescent="0.2">
      <c r="A65" s="52">
        <v>42027</v>
      </c>
      <c r="B65" s="53">
        <f t="shared" si="0"/>
        <v>2015</v>
      </c>
      <c r="C65" s="70" t="s">
        <v>29</v>
      </c>
      <c r="D65" s="55"/>
      <c r="E65" s="53"/>
      <c r="F65" s="57"/>
      <c r="G65" s="109"/>
      <c r="H65" s="121"/>
      <c r="I65" s="42"/>
      <c r="J65" s="6">
        <v>0</v>
      </c>
    </row>
    <row r="66" spans="1:10" ht="17" x14ac:dyDescent="0.2">
      <c r="A66" s="52">
        <v>42027</v>
      </c>
      <c r="B66" s="53">
        <f t="shared" si="0"/>
        <v>2015</v>
      </c>
      <c r="C66" s="58" t="s">
        <v>137</v>
      </c>
      <c r="D66" s="55" t="s">
        <v>129</v>
      </c>
      <c r="E66" s="78">
        <v>1143.2</v>
      </c>
      <c r="F66" s="57">
        <v>0.15</v>
      </c>
      <c r="G66" s="109">
        <f t="shared" si="35"/>
        <v>171.48</v>
      </c>
      <c r="H66" s="121">
        <f t="shared" si="36"/>
        <v>1314.68</v>
      </c>
      <c r="I66" s="42"/>
      <c r="J66" s="6">
        <v>0</v>
      </c>
    </row>
    <row r="67" spans="1:10" ht="17" x14ac:dyDescent="0.2">
      <c r="A67" s="52">
        <v>42027</v>
      </c>
      <c r="B67" s="53">
        <f t="shared" ref="B67:B130" si="41">YEAR(A67)</f>
        <v>2015</v>
      </c>
      <c r="C67" s="58" t="s">
        <v>136</v>
      </c>
      <c r="D67" s="55" t="s">
        <v>129</v>
      </c>
      <c r="E67" s="78">
        <v>238.18</v>
      </c>
      <c r="F67" s="57">
        <v>0.15</v>
      </c>
      <c r="G67" s="109">
        <f t="shared" ref="G67:G94" si="42">E67*F67</f>
        <v>35.726999999999997</v>
      </c>
      <c r="H67" s="121">
        <f t="shared" ref="H67:H94" si="43">E67+G67</f>
        <v>273.90699999999998</v>
      </c>
      <c r="I67" s="42"/>
      <c r="J67" s="6">
        <v>0</v>
      </c>
    </row>
    <row r="68" spans="1:10" ht="17" x14ac:dyDescent="0.2">
      <c r="A68" s="52">
        <v>42027</v>
      </c>
      <c r="B68" s="53">
        <f t="shared" si="41"/>
        <v>2015</v>
      </c>
      <c r="C68" s="58" t="s">
        <v>138</v>
      </c>
      <c r="D68" s="55" t="s">
        <v>275</v>
      </c>
      <c r="E68" s="78">
        <v>269.40999999999991</v>
      </c>
      <c r="F68" s="57">
        <v>0.15</v>
      </c>
      <c r="G68" s="109">
        <f t="shared" si="42"/>
        <v>40.411499999999982</v>
      </c>
      <c r="H68" s="121">
        <f t="shared" si="43"/>
        <v>309.8214999999999</v>
      </c>
      <c r="I68" s="42"/>
      <c r="J68" s="6">
        <v>0</v>
      </c>
    </row>
    <row r="69" spans="1:10" s="16" customFormat="1" ht="34" x14ac:dyDescent="0.2">
      <c r="A69" s="79">
        <v>42027</v>
      </c>
      <c r="B69" s="80">
        <f t="shared" si="41"/>
        <v>2015</v>
      </c>
      <c r="C69" s="58" t="s">
        <v>215</v>
      </c>
      <c r="D69" s="81" t="s">
        <v>85</v>
      </c>
      <c r="E69" s="78">
        <v>637.5</v>
      </c>
      <c r="F69" s="82">
        <v>0.15</v>
      </c>
      <c r="G69" s="111">
        <f t="shared" ref="G69" si="44">E69*F69</f>
        <v>95.625</v>
      </c>
      <c r="H69" s="123">
        <f t="shared" ref="H69" si="45">E69+G69</f>
        <v>733.125</v>
      </c>
      <c r="I69" s="44"/>
      <c r="J69" s="26">
        <v>0</v>
      </c>
    </row>
    <row r="70" spans="1:10" s="16" customFormat="1" ht="17" x14ac:dyDescent="0.2">
      <c r="A70" s="79">
        <v>42027</v>
      </c>
      <c r="B70" s="80">
        <f t="shared" si="41"/>
        <v>2015</v>
      </c>
      <c r="C70" s="58" t="s">
        <v>216</v>
      </c>
      <c r="D70" s="55" t="s">
        <v>288</v>
      </c>
      <c r="E70" s="78"/>
      <c r="F70" s="82">
        <v>0.15</v>
      </c>
      <c r="G70" s="111">
        <f t="shared" si="42"/>
        <v>0</v>
      </c>
      <c r="H70" s="123">
        <f t="shared" si="43"/>
        <v>0</v>
      </c>
      <c r="I70" s="44"/>
      <c r="J70" s="26">
        <v>8.5</v>
      </c>
    </row>
    <row r="71" spans="1:10" ht="17" x14ac:dyDescent="0.2">
      <c r="A71" s="52">
        <v>42027</v>
      </c>
      <c r="B71" s="53">
        <f t="shared" si="41"/>
        <v>2015</v>
      </c>
      <c r="C71" s="58" t="s">
        <v>156</v>
      </c>
      <c r="D71" s="55" t="s">
        <v>288</v>
      </c>
      <c r="E71" s="88">
        <v>231</v>
      </c>
      <c r="F71" s="57">
        <v>0.15</v>
      </c>
      <c r="G71" s="109">
        <f t="shared" si="42"/>
        <v>34.65</v>
      </c>
      <c r="H71" s="121">
        <f t="shared" si="43"/>
        <v>265.64999999999998</v>
      </c>
      <c r="I71" s="42"/>
      <c r="J71" s="146">
        <v>3</v>
      </c>
    </row>
    <row r="72" spans="1:10" ht="17" x14ac:dyDescent="0.2">
      <c r="A72" s="52">
        <v>42027</v>
      </c>
      <c r="B72" s="53">
        <f t="shared" si="41"/>
        <v>2015</v>
      </c>
      <c r="C72" s="58" t="s">
        <v>217</v>
      </c>
      <c r="D72" s="55" t="s">
        <v>82</v>
      </c>
      <c r="E72" s="88">
        <v>1538</v>
      </c>
      <c r="F72" s="57">
        <v>0.15</v>
      </c>
      <c r="G72" s="109">
        <f t="shared" ref="G72" si="46">E72*F72</f>
        <v>230.7</v>
      </c>
      <c r="H72" s="121">
        <f t="shared" ref="H72" si="47">E72+G72</f>
        <v>1768.7</v>
      </c>
      <c r="I72" s="42"/>
      <c r="J72" s="6">
        <v>0</v>
      </c>
    </row>
    <row r="73" spans="1:10" ht="17" x14ac:dyDescent="0.2">
      <c r="A73" s="52">
        <v>42027</v>
      </c>
      <c r="B73" s="53">
        <f t="shared" si="41"/>
        <v>2015</v>
      </c>
      <c r="C73" s="58" t="s">
        <v>218</v>
      </c>
      <c r="D73" s="55" t="s">
        <v>288</v>
      </c>
      <c r="E73" s="88"/>
      <c r="F73" s="57">
        <v>0.15</v>
      </c>
      <c r="G73" s="109">
        <f t="shared" si="42"/>
        <v>0</v>
      </c>
      <c r="H73" s="121">
        <f t="shared" si="43"/>
        <v>0</v>
      </c>
      <c r="I73" s="42"/>
      <c r="J73" s="6">
        <v>20.5</v>
      </c>
    </row>
    <row r="74" spans="1:10" ht="17" x14ac:dyDescent="0.2">
      <c r="A74" s="52">
        <v>42027</v>
      </c>
      <c r="B74" s="53">
        <f t="shared" si="41"/>
        <v>2015</v>
      </c>
      <c r="C74" s="58" t="s">
        <v>185</v>
      </c>
      <c r="D74" s="55" t="s">
        <v>129</v>
      </c>
      <c r="E74" s="88">
        <v>310</v>
      </c>
      <c r="F74" s="57">
        <v>0.15</v>
      </c>
      <c r="G74" s="109">
        <f t="shared" ref="G74" si="48">E74*F74</f>
        <v>46.5</v>
      </c>
      <c r="H74" s="121">
        <f t="shared" ref="H74" si="49">E74+G74</f>
        <v>356.5</v>
      </c>
      <c r="I74" s="42"/>
      <c r="J74" s="6">
        <v>0</v>
      </c>
    </row>
    <row r="75" spans="1:10" ht="17" x14ac:dyDescent="0.2">
      <c r="A75" s="52">
        <v>42027</v>
      </c>
      <c r="B75" s="53">
        <f t="shared" si="41"/>
        <v>2015</v>
      </c>
      <c r="C75" s="58" t="s">
        <v>186</v>
      </c>
      <c r="D75" s="55" t="s">
        <v>288</v>
      </c>
      <c r="E75" s="88"/>
      <c r="F75" s="57">
        <v>0.15</v>
      </c>
      <c r="G75" s="109">
        <f t="shared" si="42"/>
        <v>0</v>
      </c>
      <c r="H75" s="121">
        <f t="shared" si="43"/>
        <v>0</v>
      </c>
      <c r="I75" s="42"/>
      <c r="J75" s="146">
        <v>4</v>
      </c>
    </row>
    <row r="76" spans="1:10" ht="17" x14ac:dyDescent="0.2">
      <c r="A76" s="52">
        <v>42027</v>
      </c>
      <c r="B76" s="53">
        <f t="shared" si="41"/>
        <v>2015</v>
      </c>
      <c r="C76" s="58" t="s">
        <v>187</v>
      </c>
      <c r="D76" s="55" t="s">
        <v>129</v>
      </c>
      <c r="E76" s="88">
        <v>107</v>
      </c>
      <c r="F76" s="57">
        <v>0.15</v>
      </c>
      <c r="G76" s="109">
        <f t="shared" ref="G76" si="50">E76*F76</f>
        <v>16.05</v>
      </c>
      <c r="H76" s="121">
        <f t="shared" ref="H76" si="51">E76+G76</f>
        <v>123.05</v>
      </c>
      <c r="I76" s="42"/>
      <c r="J76" s="6">
        <v>0</v>
      </c>
    </row>
    <row r="77" spans="1:10" ht="17" x14ac:dyDescent="0.2">
      <c r="A77" s="52">
        <v>42027</v>
      </c>
      <c r="B77" s="53">
        <f t="shared" si="41"/>
        <v>2015</v>
      </c>
      <c r="C77" s="58" t="s">
        <v>188</v>
      </c>
      <c r="D77" s="55" t="s">
        <v>288</v>
      </c>
      <c r="E77" s="88"/>
      <c r="F77" s="57">
        <v>0.15</v>
      </c>
      <c r="G77" s="109">
        <f t="shared" si="42"/>
        <v>0</v>
      </c>
      <c r="H77" s="121">
        <f t="shared" si="43"/>
        <v>0</v>
      </c>
      <c r="I77" s="42"/>
      <c r="J77" s="6">
        <v>1.5</v>
      </c>
    </row>
    <row r="78" spans="1:10" ht="17" x14ac:dyDescent="0.2">
      <c r="A78" s="52">
        <v>42027</v>
      </c>
      <c r="B78" s="53">
        <f t="shared" si="41"/>
        <v>2015</v>
      </c>
      <c r="C78" s="58" t="s">
        <v>189</v>
      </c>
      <c r="D78" s="55" t="s">
        <v>129</v>
      </c>
      <c r="E78" s="88">
        <v>240</v>
      </c>
      <c r="F78" s="57">
        <v>0.15</v>
      </c>
      <c r="G78" s="109">
        <f t="shared" ref="G78" si="52">E78*F78</f>
        <v>36</v>
      </c>
      <c r="H78" s="121">
        <f t="shared" ref="H78" si="53">E78+G78</f>
        <v>276</v>
      </c>
      <c r="I78" s="42"/>
      <c r="J78" s="6">
        <v>0</v>
      </c>
    </row>
    <row r="79" spans="1:10" ht="17" x14ac:dyDescent="0.2">
      <c r="A79" s="52">
        <v>42027</v>
      </c>
      <c r="B79" s="53">
        <f t="shared" si="41"/>
        <v>2015</v>
      </c>
      <c r="C79" s="58" t="s">
        <v>190</v>
      </c>
      <c r="D79" s="55" t="s">
        <v>288</v>
      </c>
      <c r="E79" s="88"/>
      <c r="F79" s="57">
        <v>0.15</v>
      </c>
      <c r="G79" s="109">
        <f t="shared" si="42"/>
        <v>0</v>
      </c>
      <c r="H79" s="121">
        <f t="shared" si="43"/>
        <v>0</v>
      </c>
      <c r="I79" s="42"/>
      <c r="J79" s="6">
        <v>3</v>
      </c>
    </row>
    <row r="80" spans="1:10" ht="17" x14ac:dyDescent="0.2">
      <c r="A80" s="63">
        <v>42027</v>
      </c>
      <c r="B80" s="64">
        <f t="shared" si="41"/>
        <v>2015</v>
      </c>
      <c r="C80" s="65" t="s">
        <v>139</v>
      </c>
      <c r="D80" s="66" t="s">
        <v>291</v>
      </c>
      <c r="E80" s="89">
        <v>170</v>
      </c>
      <c r="F80" s="68">
        <v>0.15</v>
      </c>
      <c r="G80" s="110">
        <f t="shared" si="42"/>
        <v>25.5</v>
      </c>
      <c r="H80" s="122">
        <f t="shared" si="43"/>
        <v>195.5</v>
      </c>
      <c r="I80" s="43"/>
      <c r="J80" s="6">
        <v>0</v>
      </c>
    </row>
    <row r="81" spans="1:10" ht="17" x14ac:dyDescent="0.2">
      <c r="A81" s="52">
        <v>42027</v>
      </c>
      <c r="B81" s="53">
        <f t="shared" si="41"/>
        <v>2015</v>
      </c>
      <c r="C81" s="70" t="s">
        <v>95</v>
      </c>
      <c r="D81" s="55"/>
      <c r="E81" s="53"/>
      <c r="F81" s="57"/>
      <c r="G81" s="109"/>
      <c r="H81" s="121"/>
      <c r="I81" s="42"/>
      <c r="J81" s="6">
        <v>0</v>
      </c>
    </row>
    <row r="82" spans="1:10" ht="17" x14ac:dyDescent="0.2">
      <c r="A82" s="52">
        <v>42027</v>
      </c>
      <c r="B82" s="53">
        <f t="shared" si="41"/>
        <v>2015</v>
      </c>
      <c r="C82" s="58" t="s">
        <v>140</v>
      </c>
      <c r="D82" s="66" t="s">
        <v>291</v>
      </c>
      <c r="E82" s="88">
        <v>36550</v>
      </c>
      <c r="F82" s="57">
        <v>0.15</v>
      </c>
      <c r="G82" s="109">
        <f t="shared" si="42"/>
        <v>5482.5</v>
      </c>
      <c r="H82" s="121">
        <f t="shared" si="43"/>
        <v>42032.5</v>
      </c>
      <c r="I82" s="42"/>
      <c r="J82" s="6">
        <v>0</v>
      </c>
    </row>
    <row r="83" spans="1:10" ht="17" x14ac:dyDescent="0.2">
      <c r="A83" s="52">
        <v>42027</v>
      </c>
      <c r="B83" s="53">
        <f t="shared" si="41"/>
        <v>2015</v>
      </c>
      <c r="C83" s="58" t="s">
        <v>98</v>
      </c>
      <c r="D83" s="66" t="s">
        <v>291</v>
      </c>
      <c r="E83" s="121">
        <v>-36550</v>
      </c>
      <c r="F83" s="57">
        <v>0</v>
      </c>
      <c r="G83" s="109">
        <f>E83*F83</f>
        <v>0</v>
      </c>
      <c r="H83" s="121">
        <f>E83+G83</f>
        <v>-36550</v>
      </c>
      <c r="I83" s="42"/>
      <c r="J83" s="6">
        <v>0</v>
      </c>
    </row>
    <row r="84" spans="1:10" ht="17" x14ac:dyDescent="0.2">
      <c r="A84" s="52">
        <v>42027</v>
      </c>
      <c r="B84" s="53">
        <f t="shared" si="41"/>
        <v>2015</v>
      </c>
      <c r="C84" s="58" t="s">
        <v>211</v>
      </c>
      <c r="D84" s="66" t="s">
        <v>291</v>
      </c>
      <c r="E84" s="88">
        <v>4275</v>
      </c>
      <c r="F84" s="57">
        <v>0.15</v>
      </c>
      <c r="G84" s="109">
        <f t="shared" ref="G84" si="54">E84*F84</f>
        <v>641.25</v>
      </c>
      <c r="H84" s="121">
        <f t="shared" ref="H84" si="55">E84+G84</f>
        <v>4916.25</v>
      </c>
      <c r="I84" s="42"/>
      <c r="J84" s="146">
        <v>0</v>
      </c>
    </row>
    <row r="85" spans="1:10" ht="17" x14ac:dyDescent="0.2">
      <c r="A85" s="52">
        <v>42027</v>
      </c>
      <c r="B85" s="53">
        <f t="shared" si="41"/>
        <v>2015</v>
      </c>
      <c r="C85" s="58" t="s">
        <v>212</v>
      </c>
      <c r="D85" s="55" t="s">
        <v>288</v>
      </c>
      <c r="E85" s="88"/>
      <c r="F85" s="57">
        <v>0.15</v>
      </c>
      <c r="G85" s="109">
        <f t="shared" si="42"/>
        <v>0</v>
      </c>
      <c r="H85" s="121">
        <f t="shared" si="43"/>
        <v>0</v>
      </c>
      <c r="I85" s="42"/>
      <c r="J85" s="146">
        <v>57</v>
      </c>
    </row>
    <row r="86" spans="1:10" s="16" customFormat="1" ht="34" x14ac:dyDescent="0.2">
      <c r="A86" s="79">
        <v>42027</v>
      </c>
      <c r="B86" s="80">
        <f t="shared" si="41"/>
        <v>2015</v>
      </c>
      <c r="C86" s="58" t="s">
        <v>213</v>
      </c>
      <c r="D86" s="66" t="s">
        <v>291</v>
      </c>
      <c r="E86" s="78">
        <v>1875</v>
      </c>
      <c r="F86" s="82">
        <v>0.15</v>
      </c>
      <c r="G86" s="111">
        <f t="shared" ref="G86" si="56">E86*F86</f>
        <v>281.25</v>
      </c>
      <c r="H86" s="123">
        <f t="shared" ref="H86" si="57">E86+G86</f>
        <v>2156.25</v>
      </c>
      <c r="I86" s="44"/>
      <c r="J86" s="26">
        <v>0</v>
      </c>
    </row>
    <row r="87" spans="1:10" s="16" customFormat="1" ht="17" x14ac:dyDescent="0.2">
      <c r="A87" s="79">
        <v>42027</v>
      </c>
      <c r="B87" s="80">
        <f t="shared" si="41"/>
        <v>2015</v>
      </c>
      <c r="C87" s="58" t="s">
        <v>214</v>
      </c>
      <c r="D87" s="55" t="s">
        <v>288</v>
      </c>
      <c r="E87" s="78"/>
      <c r="F87" s="82">
        <v>0.15</v>
      </c>
      <c r="G87" s="111">
        <f t="shared" si="42"/>
        <v>0</v>
      </c>
      <c r="H87" s="123">
        <f t="shared" si="43"/>
        <v>0</v>
      </c>
      <c r="I87" s="44"/>
      <c r="J87" s="26">
        <v>25</v>
      </c>
    </row>
    <row r="88" spans="1:10" ht="17" x14ac:dyDescent="0.2">
      <c r="A88" s="52">
        <v>42027</v>
      </c>
      <c r="B88" s="53">
        <f t="shared" si="41"/>
        <v>2015</v>
      </c>
      <c r="C88" s="58" t="s">
        <v>30</v>
      </c>
      <c r="D88" s="66" t="s">
        <v>291</v>
      </c>
      <c r="E88" s="78">
        <v>637</v>
      </c>
      <c r="F88" s="57">
        <v>0.15</v>
      </c>
      <c r="G88" s="109">
        <f t="shared" si="42"/>
        <v>95.55</v>
      </c>
      <c r="H88" s="121">
        <f t="shared" si="43"/>
        <v>732.55</v>
      </c>
      <c r="I88" s="42"/>
      <c r="J88" s="6">
        <v>0</v>
      </c>
    </row>
    <row r="89" spans="1:10" ht="17" x14ac:dyDescent="0.2">
      <c r="A89" s="52">
        <v>42027</v>
      </c>
      <c r="B89" s="53">
        <f t="shared" si="41"/>
        <v>2015</v>
      </c>
      <c r="C89" s="58" t="s">
        <v>31</v>
      </c>
      <c r="D89" s="66" t="s">
        <v>291</v>
      </c>
      <c r="E89" s="78">
        <v>532.29999999999995</v>
      </c>
      <c r="F89" s="57">
        <v>0.15</v>
      </c>
      <c r="G89" s="109">
        <f t="shared" si="42"/>
        <v>79.844999999999985</v>
      </c>
      <c r="H89" s="121">
        <f t="shared" si="43"/>
        <v>612.14499999999998</v>
      </c>
      <c r="I89" s="42"/>
      <c r="J89" s="6">
        <v>0</v>
      </c>
    </row>
    <row r="90" spans="1:10" ht="17" x14ac:dyDescent="0.2">
      <c r="A90" s="52">
        <v>42027</v>
      </c>
      <c r="B90" s="53">
        <f t="shared" si="41"/>
        <v>2015</v>
      </c>
      <c r="C90" s="58" t="s">
        <v>32</v>
      </c>
      <c r="D90" s="66" t="s">
        <v>291</v>
      </c>
      <c r="E90" s="78">
        <v>1833.09</v>
      </c>
      <c r="F90" s="57">
        <v>0.15</v>
      </c>
      <c r="G90" s="109">
        <f t="shared" si="42"/>
        <v>274.96349999999995</v>
      </c>
      <c r="H90" s="121">
        <f t="shared" si="43"/>
        <v>2108.0535</v>
      </c>
      <c r="I90" s="42"/>
      <c r="J90" s="6">
        <v>0</v>
      </c>
    </row>
    <row r="91" spans="1:10" ht="17" x14ac:dyDescent="0.2">
      <c r="A91" s="52">
        <v>42027</v>
      </c>
      <c r="B91" s="53">
        <f t="shared" si="41"/>
        <v>2015</v>
      </c>
      <c r="C91" s="58" t="s">
        <v>33</v>
      </c>
      <c r="D91" s="66" t="s">
        <v>291</v>
      </c>
      <c r="E91" s="78">
        <v>685.32</v>
      </c>
      <c r="F91" s="57">
        <v>0.15</v>
      </c>
      <c r="G91" s="109">
        <f t="shared" si="42"/>
        <v>102.798</v>
      </c>
      <c r="H91" s="121">
        <f t="shared" si="43"/>
        <v>788.11800000000005</v>
      </c>
      <c r="I91" s="42"/>
      <c r="J91" s="6">
        <v>0</v>
      </c>
    </row>
    <row r="92" spans="1:10" ht="17" x14ac:dyDescent="0.2">
      <c r="A92" s="52">
        <v>42027</v>
      </c>
      <c r="B92" s="53">
        <f t="shared" si="41"/>
        <v>2015</v>
      </c>
      <c r="C92" s="58" t="s">
        <v>34</v>
      </c>
      <c r="D92" s="66" t="s">
        <v>291</v>
      </c>
      <c r="E92" s="78">
        <v>3220.43</v>
      </c>
      <c r="F92" s="57">
        <v>0.15</v>
      </c>
      <c r="G92" s="109">
        <f t="shared" si="42"/>
        <v>483.06449999999995</v>
      </c>
      <c r="H92" s="121">
        <f t="shared" si="43"/>
        <v>3703.4944999999998</v>
      </c>
      <c r="I92" s="42"/>
      <c r="J92" s="6">
        <v>0</v>
      </c>
    </row>
    <row r="93" spans="1:10" ht="17" x14ac:dyDescent="0.2">
      <c r="A93" s="52">
        <v>42027</v>
      </c>
      <c r="B93" s="53">
        <f t="shared" si="41"/>
        <v>2015</v>
      </c>
      <c r="C93" s="58" t="s">
        <v>35</v>
      </c>
      <c r="D93" s="66" t="s">
        <v>291</v>
      </c>
      <c r="E93" s="78">
        <v>1149.69</v>
      </c>
      <c r="F93" s="57">
        <v>0.15</v>
      </c>
      <c r="G93" s="109">
        <f t="shared" si="42"/>
        <v>172.45349999999999</v>
      </c>
      <c r="H93" s="121">
        <f t="shared" si="43"/>
        <v>1322.1435000000001</v>
      </c>
      <c r="I93" s="42"/>
      <c r="J93" s="6">
        <v>0</v>
      </c>
    </row>
    <row r="94" spans="1:10" ht="17" x14ac:dyDescent="0.2">
      <c r="A94" s="52">
        <v>42027</v>
      </c>
      <c r="B94" s="53">
        <f t="shared" si="41"/>
        <v>2015</v>
      </c>
      <c r="C94" s="58" t="s">
        <v>36</v>
      </c>
      <c r="D94" s="66" t="s">
        <v>291</v>
      </c>
      <c r="E94" s="78">
        <v>169.42</v>
      </c>
      <c r="F94" s="57">
        <v>0.15</v>
      </c>
      <c r="G94" s="109">
        <f t="shared" si="42"/>
        <v>25.412999999999997</v>
      </c>
      <c r="H94" s="121">
        <f t="shared" si="43"/>
        <v>194.83299999999997</v>
      </c>
      <c r="I94" s="42"/>
      <c r="J94" s="6">
        <v>0</v>
      </c>
    </row>
    <row r="95" spans="1:10" ht="17" x14ac:dyDescent="0.2">
      <c r="A95" s="52">
        <v>42027</v>
      </c>
      <c r="B95" s="53">
        <f t="shared" si="41"/>
        <v>2015</v>
      </c>
      <c r="C95" s="58" t="s">
        <v>37</v>
      </c>
      <c r="D95" s="66" t="s">
        <v>291</v>
      </c>
      <c r="E95" s="78">
        <f>72.67+73.88</f>
        <v>146.55000000000001</v>
      </c>
      <c r="F95" s="57">
        <v>0.15</v>
      </c>
      <c r="G95" s="109">
        <f t="shared" ref="G95:G122" si="58">E95*F95</f>
        <v>21.982500000000002</v>
      </c>
      <c r="H95" s="121">
        <f t="shared" ref="H95:H122" si="59">E95+G95</f>
        <v>168.53250000000003</v>
      </c>
      <c r="I95" s="42"/>
      <c r="J95" s="6">
        <v>0</v>
      </c>
    </row>
    <row r="96" spans="1:10" ht="17" x14ac:dyDescent="0.2">
      <c r="A96" s="52">
        <v>42027</v>
      </c>
      <c r="B96" s="53">
        <f t="shared" si="41"/>
        <v>2015</v>
      </c>
      <c r="C96" s="58" t="s">
        <v>38</v>
      </c>
      <c r="D96" s="66" t="s">
        <v>291</v>
      </c>
      <c r="E96" s="78">
        <v>1475</v>
      </c>
      <c r="F96" s="57">
        <v>0.15</v>
      </c>
      <c r="G96" s="109">
        <f t="shared" si="58"/>
        <v>221.25</v>
      </c>
      <c r="H96" s="121">
        <f t="shared" si="59"/>
        <v>1696.25</v>
      </c>
      <c r="I96" s="42"/>
      <c r="J96" s="6">
        <v>0</v>
      </c>
    </row>
    <row r="97" spans="1:10" ht="17" x14ac:dyDescent="0.2">
      <c r="A97" s="52">
        <v>42027</v>
      </c>
      <c r="B97" s="53">
        <f t="shared" si="41"/>
        <v>2015</v>
      </c>
      <c r="C97" s="58" t="s">
        <v>39</v>
      </c>
      <c r="D97" s="66" t="s">
        <v>291</v>
      </c>
      <c r="E97" s="78">
        <v>550</v>
      </c>
      <c r="F97" s="57">
        <v>0.15</v>
      </c>
      <c r="G97" s="109">
        <f t="shared" si="58"/>
        <v>82.5</v>
      </c>
      <c r="H97" s="121">
        <f t="shared" si="59"/>
        <v>632.5</v>
      </c>
      <c r="I97" s="42"/>
      <c r="J97" s="6">
        <v>0</v>
      </c>
    </row>
    <row r="98" spans="1:10" ht="17" x14ac:dyDescent="0.2">
      <c r="A98" s="52">
        <v>42027</v>
      </c>
      <c r="B98" s="53">
        <f t="shared" si="41"/>
        <v>2015</v>
      </c>
      <c r="C98" s="58" t="s">
        <v>40</v>
      </c>
      <c r="D98" s="66" t="s">
        <v>291</v>
      </c>
      <c r="E98" s="78">
        <v>518.25</v>
      </c>
      <c r="F98" s="57">
        <v>0.15</v>
      </c>
      <c r="G98" s="109">
        <f t="shared" si="58"/>
        <v>77.737499999999997</v>
      </c>
      <c r="H98" s="121">
        <f t="shared" si="59"/>
        <v>595.98749999999995</v>
      </c>
      <c r="I98" s="42"/>
      <c r="J98" s="6">
        <v>0</v>
      </c>
    </row>
    <row r="99" spans="1:10" ht="17" x14ac:dyDescent="0.2">
      <c r="A99" s="63">
        <v>42027</v>
      </c>
      <c r="B99" s="64">
        <f t="shared" si="41"/>
        <v>2015</v>
      </c>
      <c r="C99" s="65" t="s">
        <v>48</v>
      </c>
      <c r="D99" s="66" t="s">
        <v>83</v>
      </c>
      <c r="E99" s="89">
        <v>800</v>
      </c>
      <c r="F99" s="68">
        <v>0.15</v>
      </c>
      <c r="G99" s="110">
        <f t="shared" si="58"/>
        <v>120</v>
      </c>
      <c r="H99" s="122">
        <f t="shared" si="59"/>
        <v>920</v>
      </c>
      <c r="I99" s="43"/>
      <c r="J99" s="6">
        <v>0</v>
      </c>
    </row>
    <row r="100" spans="1:10" ht="17" x14ac:dyDescent="0.2">
      <c r="A100" s="52">
        <v>42158</v>
      </c>
      <c r="B100" s="53">
        <f t="shared" si="41"/>
        <v>2015</v>
      </c>
      <c r="C100" s="70" t="s">
        <v>100</v>
      </c>
      <c r="D100" s="55"/>
      <c r="E100" s="53"/>
      <c r="F100" s="57"/>
      <c r="G100" s="109"/>
      <c r="H100" s="121"/>
      <c r="I100" s="42"/>
      <c r="J100" s="6">
        <v>0</v>
      </c>
    </row>
    <row r="101" spans="1:10" ht="17" x14ac:dyDescent="0.2">
      <c r="A101" s="63">
        <v>42158</v>
      </c>
      <c r="B101" s="64">
        <f t="shared" si="41"/>
        <v>2015</v>
      </c>
      <c r="C101" s="90" t="s">
        <v>99</v>
      </c>
      <c r="D101" s="55" t="s">
        <v>275</v>
      </c>
      <c r="E101" s="77">
        <v>74.12</v>
      </c>
      <c r="F101" s="68">
        <v>0.17</v>
      </c>
      <c r="G101" s="110">
        <f t="shared" si="58"/>
        <v>12.600400000000002</v>
      </c>
      <c r="H101" s="122">
        <f t="shared" si="59"/>
        <v>86.720400000000012</v>
      </c>
      <c r="I101" s="43"/>
      <c r="J101" s="6">
        <v>0</v>
      </c>
    </row>
    <row r="102" spans="1:10" ht="17" x14ac:dyDescent="0.2">
      <c r="A102" s="52">
        <v>42193</v>
      </c>
      <c r="B102" s="53">
        <f t="shared" si="41"/>
        <v>2015</v>
      </c>
      <c r="C102" s="70" t="s">
        <v>41</v>
      </c>
      <c r="D102" s="55"/>
      <c r="E102" s="53"/>
      <c r="F102" s="57"/>
      <c r="G102" s="109"/>
      <c r="H102" s="121"/>
      <c r="I102" s="42"/>
      <c r="J102" s="6">
        <v>0</v>
      </c>
    </row>
    <row r="103" spans="1:10" x14ac:dyDescent="0.2">
      <c r="A103" s="63">
        <v>42193</v>
      </c>
      <c r="B103" s="64">
        <f t="shared" si="41"/>
        <v>2015</v>
      </c>
      <c r="C103" s="76" t="s">
        <v>101</v>
      </c>
      <c r="D103" s="66" t="s">
        <v>297</v>
      </c>
      <c r="E103" s="74">
        <v>1600</v>
      </c>
      <c r="F103" s="68">
        <v>0.17</v>
      </c>
      <c r="G103" s="110">
        <f t="shared" si="58"/>
        <v>272</v>
      </c>
      <c r="H103" s="122">
        <f t="shared" si="59"/>
        <v>1872</v>
      </c>
      <c r="I103" s="43"/>
      <c r="J103" s="6">
        <v>0</v>
      </c>
    </row>
    <row r="104" spans="1:10" ht="17" x14ac:dyDescent="0.2">
      <c r="A104" s="52">
        <v>42203</v>
      </c>
      <c r="B104" s="53">
        <f t="shared" si="41"/>
        <v>2015</v>
      </c>
      <c r="C104" s="70" t="s">
        <v>42</v>
      </c>
      <c r="D104" s="55"/>
      <c r="E104" s="53"/>
      <c r="F104" s="57"/>
      <c r="G104" s="109"/>
      <c r="H104" s="121"/>
      <c r="I104" s="42"/>
      <c r="J104" s="6">
        <v>0</v>
      </c>
    </row>
    <row r="105" spans="1:10" ht="17" x14ac:dyDescent="0.2">
      <c r="A105" s="63">
        <v>42203</v>
      </c>
      <c r="B105" s="64">
        <f t="shared" si="41"/>
        <v>2015</v>
      </c>
      <c r="C105" s="65" t="s">
        <v>43</v>
      </c>
      <c r="D105" s="66" t="s">
        <v>83</v>
      </c>
      <c r="E105" s="74">
        <v>384.38</v>
      </c>
      <c r="F105" s="68">
        <v>0.17</v>
      </c>
      <c r="G105" s="110">
        <f t="shared" si="58"/>
        <v>65.3446</v>
      </c>
      <c r="H105" s="122">
        <f t="shared" si="59"/>
        <v>449.72460000000001</v>
      </c>
      <c r="I105" s="43"/>
      <c r="J105" s="6">
        <v>0</v>
      </c>
    </row>
    <row r="106" spans="1:10" ht="17" x14ac:dyDescent="0.2">
      <c r="A106" s="52">
        <v>42206</v>
      </c>
      <c r="B106" s="53">
        <f t="shared" si="41"/>
        <v>2015</v>
      </c>
      <c r="C106" s="70" t="s">
        <v>12</v>
      </c>
      <c r="D106" s="55"/>
      <c r="E106" s="53"/>
      <c r="F106" s="57"/>
      <c r="G106" s="109"/>
      <c r="H106" s="121"/>
      <c r="I106" s="42"/>
      <c r="J106" s="6">
        <v>0</v>
      </c>
    </row>
    <row r="107" spans="1:10" ht="17" x14ac:dyDescent="0.2">
      <c r="A107" s="63">
        <v>42206</v>
      </c>
      <c r="B107" s="64">
        <f t="shared" si="41"/>
        <v>2015</v>
      </c>
      <c r="C107" s="65" t="s">
        <v>44</v>
      </c>
      <c r="D107" s="66" t="s">
        <v>83</v>
      </c>
      <c r="E107" s="74">
        <v>65</v>
      </c>
      <c r="F107" s="68">
        <v>0.17</v>
      </c>
      <c r="G107" s="110">
        <f t="shared" si="58"/>
        <v>11.05</v>
      </c>
      <c r="H107" s="122">
        <f t="shared" si="59"/>
        <v>76.05</v>
      </c>
      <c r="I107" s="43"/>
      <c r="J107" s="6">
        <v>0</v>
      </c>
    </row>
    <row r="108" spans="1:10" ht="17" x14ac:dyDescent="0.2">
      <c r="A108" s="52">
        <v>42246</v>
      </c>
      <c r="B108" s="53">
        <f t="shared" si="41"/>
        <v>2015</v>
      </c>
      <c r="C108" s="70" t="s">
        <v>104</v>
      </c>
      <c r="D108" s="55"/>
      <c r="E108" s="53"/>
      <c r="F108" s="57">
        <v>0.17</v>
      </c>
      <c r="G108" s="109">
        <f t="shared" si="58"/>
        <v>0</v>
      </c>
      <c r="H108" s="121">
        <f t="shared" si="59"/>
        <v>0</v>
      </c>
      <c r="I108" s="42"/>
      <c r="J108" s="6">
        <v>0</v>
      </c>
    </row>
    <row r="109" spans="1:10" ht="17" x14ac:dyDescent="0.2">
      <c r="A109" s="52">
        <v>42246</v>
      </c>
      <c r="B109" s="53">
        <f t="shared" si="41"/>
        <v>2015</v>
      </c>
      <c r="C109" s="58" t="s">
        <v>204</v>
      </c>
      <c r="D109" s="66" t="s">
        <v>291</v>
      </c>
      <c r="E109" s="88">
        <f xml:space="preserve"> 58.31 + 6.67 + 15</f>
        <v>79.98</v>
      </c>
      <c r="F109" s="57">
        <v>0.17</v>
      </c>
      <c r="G109" s="109">
        <f t="shared" si="58"/>
        <v>13.596600000000002</v>
      </c>
      <c r="H109" s="121">
        <f t="shared" si="59"/>
        <v>93.576600000000013</v>
      </c>
      <c r="I109" s="42"/>
      <c r="J109" s="6">
        <v>0</v>
      </c>
    </row>
    <row r="110" spans="1:10" ht="17" x14ac:dyDescent="0.2">
      <c r="A110" s="52">
        <v>42246</v>
      </c>
      <c r="B110" s="53">
        <f t="shared" si="41"/>
        <v>2015</v>
      </c>
      <c r="C110" s="58" t="s">
        <v>141</v>
      </c>
      <c r="D110" s="55" t="s">
        <v>129</v>
      </c>
      <c r="E110" s="88">
        <v>203.42</v>
      </c>
      <c r="F110" s="57">
        <v>0.17</v>
      </c>
      <c r="G110" s="109">
        <f t="shared" si="58"/>
        <v>34.581400000000002</v>
      </c>
      <c r="H110" s="121">
        <f t="shared" si="59"/>
        <v>238.00139999999999</v>
      </c>
      <c r="I110" s="42"/>
      <c r="J110" s="6">
        <v>0</v>
      </c>
    </row>
    <row r="111" spans="1:10" ht="17" x14ac:dyDescent="0.2">
      <c r="A111" s="52">
        <v>42246</v>
      </c>
      <c r="B111" s="53">
        <f t="shared" si="41"/>
        <v>2015</v>
      </c>
      <c r="C111" s="58" t="s">
        <v>45</v>
      </c>
      <c r="D111" s="55" t="s">
        <v>275</v>
      </c>
      <c r="E111" s="88">
        <f>148.32+77.32</f>
        <v>225.64</v>
      </c>
      <c r="F111" s="57">
        <v>0.17</v>
      </c>
      <c r="G111" s="109">
        <f t="shared" si="58"/>
        <v>38.358800000000002</v>
      </c>
      <c r="H111" s="121">
        <f t="shared" si="59"/>
        <v>263.99879999999996</v>
      </c>
      <c r="I111" s="42"/>
      <c r="J111" s="6">
        <v>0</v>
      </c>
    </row>
    <row r="112" spans="1:10" s="16" customFormat="1" ht="17" x14ac:dyDescent="0.2">
      <c r="A112" s="79">
        <v>42246</v>
      </c>
      <c r="B112" s="80">
        <f t="shared" si="41"/>
        <v>2015</v>
      </c>
      <c r="C112" s="87" t="s">
        <v>205</v>
      </c>
      <c r="D112" s="66" t="s">
        <v>291</v>
      </c>
      <c r="E112" s="78">
        <v>675</v>
      </c>
      <c r="F112" s="82">
        <v>0.17</v>
      </c>
      <c r="G112" s="111">
        <f t="shared" ref="G112" si="60">E112*F112</f>
        <v>114.75000000000001</v>
      </c>
      <c r="H112" s="123">
        <f t="shared" ref="H112" si="61">E112+G112</f>
        <v>789.75</v>
      </c>
      <c r="I112" s="44"/>
      <c r="J112" s="144">
        <v>0</v>
      </c>
    </row>
    <row r="113" spans="1:10" s="16" customFormat="1" ht="17" x14ac:dyDescent="0.2">
      <c r="A113" s="79">
        <v>42246</v>
      </c>
      <c r="B113" s="80">
        <f t="shared" si="41"/>
        <v>2015</v>
      </c>
      <c r="C113" s="87" t="s">
        <v>206</v>
      </c>
      <c r="D113" s="55" t="s">
        <v>288</v>
      </c>
      <c r="E113" s="78"/>
      <c r="F113" s="82">
        <v>0.17</v>
      </c>
      <c r="G113" s="111">
        <f t="shared" si="58"/>
        <v>0</v>
      </c>
      <c r="H113" s="123">
        <f t="shared" si="59"/>
        <v>0</v>
      </c>
      <c r="I113" s="44"/>
      <c r="J113" s="144">
        <v>9</v>
      </c>
    </row>
    <row r="114" spans="1:10" ht="17" x14ac:dyDescent="0.2">
      <c r="A114" s="52">
        <v>42246</v>
      </c>
      <c r="B114" s="53">
        <f t="shared" si="41"/>
        <v>2015</v>
      </c>
      <c r="C114" s="58" t="s">
        <v>207</v>
      </c>
      <c r="D114" s="55" t="s">
        <v>130</v>
      </c>
      <c r="E114" s="78">
        <v>297.5</v>
      </c>
      <c r="F114" s="57">
        <v>0.17</v>
      </c>
      <c r="G114" s="109">
        <f t="shared" ref="G114" si="62">E114*F114</f>
        <v>50.575000000000003</v>
      </c>
      <c r="H114" s="121">
        <f t="shared" ref="H114" si="63">E114+G114</f>
        <v>348.07499999999999</v>
      </c>
      <c r="I114" s="42"/>
      <c r="J114" s="6">
        <v>0</v>
      </c>
    </row>
    <row r="115" spans="1:10" ht="17" x14ac:dyDescent="0.2">
      <c r="A115" s="52">
        <v>42246</v>
      </c>
      <c r="B115" s="53">
        <f t="shared" si="41"/>
        <v>2015</v>
      </c>
      <c r="C115" s="58" t="s">
        <v>208</v>
      </c>
      <c r="D115" s="55" t="s">
        <v>288</v>
      </c>
      <c r="E115" s="78"/>
      <c r="F115" s="57">
        <v>0.17</v>
      </c>
      <c r="G115" s="109">
        <f t="shared" si="58"/>
        <v>0</v>
      </c>
      <c r="H115" s="121">
        <f t="shared" si="59"/>
        <v>0</v>
      </c>
      <c r="I115" s="42"/>
      <c r="J115" s="6">
        <v>3.5</v>
      </c>
    </row>
    <row r="116" spans="1:10" ht="17" x14ac:dyDescent="0.2">
      <c r="A116" s="52">
        <v>42246</v>
      </c>
      <c r="B116" s="53">
        <f t="shared" si="41"/>
        <v>2015</v>
      </c>
      <c r="C116" s="58" t="s">
        <v>209</v>
      </c>
      <c r="D116" s="55" t="s">
        <v>130</v>
      </c>
      <c r="E116" s="88">
        <v>1756.54</v>
      </c>
      <c r="F116" s="57">
        <v>0.17</v>
      </c>
      <c r="G116" s="109">
        <f t="shared" ref="G116" si="64">E116*F116</f>
        <v>298.61180000000002</v>
      </c>
      <c r="H116" s="121">
        <f t="shared" ref="H116" si="65">E116+G116</f>
        <v>2055.1518000000001</v>
      </c>
      <c r="I116" s="42"/>
      <c r="J116" s="6">
        <v>0</v>
      </c>
    </row>
    <row r="117" spans="1:10" ht="17" x14ac:dyDescent="0.2">
      <c r="A117" s="52">
        <v>42246</v>
      </c>
      <c r="B117" s="53">
        <f t="shared" si="41"/>
        <v>2015</v>
      </c>
      <c r="C117" s="58" t="s">
        <v>210</v>
      </c>
      <c r="D117" s="55" t="s">
        <v>288</v>
      </c>
      <c r="E117" s="88"/>
      <c r="F117" s="57">
        <v>0.17</v>
      </c>
      <c r="G117" s="109">
        <f t="shared" si="58"/>
        <v>0</v>
      </c>
      <c r="H117" s="121">
        <f t="shared" si="59"/>
        <v>0</v>
      </c>
      <c r="I117" s="42"/>
      <c r="J117" s="6">
        <v>3.5</v>
      </c>
    </row>
    <row r="118" spans="1:10" ht="17" x14ac:dyDescent="0.2">
      <c r="A118" s="63">
        <v>42246</v>
      </c>
      <c r="B118" s="64">
        <f t="shared" si="41"/>
        <v>2015</v>
      </c>
      <c r="C118" s="65" t="s">
        <v>102</v>
      </c>
      <c r="D118" s="55" t="s">
        <v>326</v>
      </c>
      <c r="E118" s="124">
        <v>-1800</v>
      </c>
      <c r="F118" s="68">
        <v>0</v>
      </c>
      <c r="G118" s="110">
        <f>E118*F118</f>
        <v>0</v>
      </c>
      <c r="H118" s="122">
        <f>E118+G118</f>
        <v>-1800</v>
      </c>
      <c r="I118" s="43"/>
      <c r="J118" s="6">
        <v>0</v>
      </c>
    </row>
    <row r="119" spans="1:10" ht="17" x14ac:dyDescent="0.2">
      <c r="A119" s="52">
        <v>42267</v>
      </c>
      <c r="B119" s="53">
        <f t="shared" si="41"/>
        <v>2015</v>
      </c>
      <c r="C119" s="70" t="s">
        <v>46</v>
      </c>
      <c r="D119" s="55"/>
      <c r="E119" s="53"/>
      <c r="F119" s="57"/>
      <c r="G119" s="109"/>
      <c r="H119" s="121"/>
      <c r="I119" s="42"/>
      <c r="J119" s="6">
        <v>0</v>
      </c>
    </row>
    <row r="120" spans="1:10" ht="17" x14ac:dyDescent="0.2">
      <c r="A120" s="63">
        <v>42267</v>
      </c>
      <c r="B120" s="64">
        <f t="shared" si="41"/>
        <v>2015</v>
      </c>
      <c r="C120" s="65" t="s">
        <v>47</v>
      </c>
      <c r="D120" s="66" t="s">
        <v>83</v>
      </c>
      <c r="E120" s="74">
        <v>200</v>
      </c>
      <c r="F120" s="68">
        <v>0.17</v>
      </c>
      <c r="G120" s="110">
        <f t="shared" si="58"/>
        <v>34</v>
      </c>
      <c r="H120" s="122">
        <f t="shared" si="59"/>
        <v>234</v>
      </c>
      <c r="I120" s="43"/>
      <c r="J120" s="6">
        <v>0</v>
      </c>
    </row>
    <row r="121" spans="1:10" ht="17" x14ac:dyDescent="0.2">
      <c r="A121" s="52">
        <v>42354</v>
      </c>
      <c r="B121" s="53">
        <f t="shared" si="41"/>
        <v>2015</v>
      </c>
      <c r="C121" s="70" t="s">
        <v>103</v>
      </c>
      <c r="D121" s="55"/>
      <c r="E121" s="53"/>
      <c r="F121" s="57"/>
      <c r="G121" s="109"/>
      <c r="H121" s="121"/>
      <c r="I121" s="42"/>
      <c r="J121" s="6">
        <v>0</v>
      </c>
    </row>
    <row r="122" spans="1:10" ht="17" x14ac:dyDescent="0.2">
      <c r="A122" s="63">
        <v>42354</v>
      </c>
      <c r="B122" s="64">
        <f t="shared" si="41"/>
        <v>2015</v>
      </c>
      <c r="C122" s="65" t="s">
        <v>48</v>
      </c>
      <c r="D122" s="66" t="s">
        <v>83</v>
      </c>
      <c r="E122" s="74">
        <v>800</v>
      </c>
      <c r="F122" s="68">
        <v>0.17</v>
      </c>
      <c r="G122" s="110">
        <f t="shared" si="58"/>
        <v>136</v>
      </c>
      <c r="H122" s="122">
        <f t="shared" si="59"/>
        <v>936</v>
      </c>
      <c r="I122" s="43"/>
      <c r="J122" s="6">
        <v>0</v>
      </c>
    </row>
    <row r="123" spans="1:10" ht="17" x14ac:dyDescent="0.2">
      <c r="A123" s="52">
        <v>42358</v>
      </c>
      <c r="B123" s="53">
        <f t="shared" si="41"/>
        <v>2015</v>
      </c>
      <c r="C123" s="70" t="s">
        <v>49</v>
      </c>
      <c r="D123" s="55"/>
      <c r="E123" s="53"/>
      <c r="F123" s="57"/>
      <c r="G123" s="109"/>
      <c r="H123" s="121"/>
      <c r="I123" s="42"/>
      <c r="J123" s="6">
        <v>0</v>
      </c>
    </row>
    <row r="124" spans="1:10" s="16" customFormat="1" ht="34" x14ac:dyDescent="0.2">
      <c r="A124" s="91">
        <v>42358</v>
      </c>
      <c r="B124" s="164">
        <f t="shared" si="41"/>
        <v>2015</v>
      </c>
      <c r="C124" s="90" t="s">
        <v>142</v>
      </c>
      <c r="D124" s="92" t="s">
        <v>83</v>
      </c>
      <c r="E124" s="93">
        <v>186.09</v>
      </c>
      <c r="F124" s="94">
        <v>0.17</v>
      </c>
      <c r="G124" s="33">
        <f t="shared" ref="G124:G142" si="66">E124*F124</f>
        <v>31.635300000000004</v>
      </c>
      <c r="H124" s="125">
        <f t="shared" ref="H124:H142" si="67">E124+G124</f>
        <v>217.7253</v>
      </c>
      <c r="I124" s="45"/>
      <c r="J124" s="26">
        <v>0</v>
      </c>
    </row>
    <row r="125" spans="1:10" ht="17" x14ac:dyDescent="0.2">
      <c r="A125" s="52">
        <v>42372</v>
      </c>
      <c r="B125" s="53">
        <f t="shared" si="41"/>
        <v>2016</v>
      </c>
      <c r="C125" s="70" t="s">
        <v>105</v>
      </c>
      <c r="D125" s="55"/>
      <c r="E125" s="53"/>
      <c r="F125" s="57"/>
      <c r="G125" s="109"/>
      <c r="H125" s="121"/>
      <c r="I125" s="42"/>
      <c r="J125" s="6">
        <v>0</v>
      </c>
    </row>
    <row r="126" spans="1:10" ht="17" x14ac:dyDescent="0.2">
      <c r="A126" s="52">
        <v>42372</v>
      </c>
      <c r="B126" s="53">
        <f t="shared" si="41"/>
        <v>2016</v>
      </c>
      <c r="C126" s="58" t="s">
        <v>203</v>
      </c>
      <c r="D126" s="55" t="s">
        <v>85</v>
      </c>
      <c r="E126" s="88">
        <f>58.31 + 16.72 + 2.43 + 2.6 + 10.55 + 9.85 + 0.48 + 45</f>
        <v>145.94</v>
      </c>
      <c r="F126" s="57">
        <v>0.17</v>
      </c>
      <c r="G126" s="109">
        <f t="shared" si="66"/>
        <v>24.809800000000003</v>
      </c>
      <c r="H126" s="121">
        <f t="shared" si="67"/>
        <v>170.74979999999999</v>
      </c>
      <c r="I126" s="42"/>
      <c r="J126" s="6">
        <v>0</v>
      </c>
    </row>
    <row r="127" spans="1:10" ht="17" x14ac:dyDescent="0.2">
      <c r="A127" s="52">
        <v>42372</v>
      </c>
      <c r="B127" s="53">
        <f t="shared" si="41"/>
        <v>2016</v>
      </c>
      <c r="C127" s="58" t="s">
        <v>45</v>
      </c>
      <c r="D127" s="55" t="s">
        <v>275</v>
      </c>
      <c r="E127" s="88">
        <v>148.32</v>
      </c>
      <c r="F127" s="57">
        <v>0.17</v>
      </c>
      <c r="G127" s="109">
        <f t="shared" si="66"/>
        <v>25.214400000000001</v>
      </c>
      <c r="H127" s="121">
        <f t="shared" si="67"/>
        <v>173.53440000000001</v>
      </c>
      <c r="I127" s="42"/>
      <c r="J127" s="6">
        <v>0</v>
      </c>
    </row>
    <row r="128" spans="1:10" s="16" customFormat="1" ht="34" x14ac:dyDescent="0.2">
      <c r="A128" s="79">
        <v>42372</v>
      </c>
      <c r="B128" s="80">
        <f t="shared" si="41"/>
        <v>2016</v>
      </c>
      <c r="C128" s="58" t="s">
        <v>200</v>
      </c>
      <c r="D128" s="81" t="s">
        <v>85</v>
      </c>
      <c r="E128" s="78">
        <v>731.25</v>
      </c>
      <c r="F128" s="82">
        <v>0.17</v>
      </c>
      <c r="G128" s="111">
        <f t="shared" ref="G128" si="68">E128*F128</f>
        <v>124.31250000000001</v>
      </c>
      <c r="H128" s="123">
        <f t="shared" ref="H128" si="69">E128+G128</f>
        <v>855.5625</v>
      </c>
      <c r="I128" s="44"/>
      <c r="J128" s="26">
        <v>0</v>
      </c>
    </row>
    <row r="129" spans="1:10" s="16" customFormat="1" ht="34" x14ac:dyDescent="0.2">
      <c r="A129" s="79">
        <v>42372</v>
      </c>
      <c r="B129" s="80">
        <f t="shared" si="41"/>
        <v>2016</v>
      </c>
      <c r="C129" s="58" t="s">
        <v>201</v>
      </c>
      <c r="D129" s="55" t="s">
        <v>288</v>
      </c>
      <c r="E129" s="78"/>
      <c r="F129" s="82">
        <v>0.17</v>
      </c>
      <c r="G129" s="111">
        <f t="shared" si="66"/>
        <v>0</v>
      </c>
      <c r="H129" s="123">
        <f t="shared" si="67"/>
        <v>0</v>
      </c>
      <c r="I129" s="44"/>
      <c r="J129" s="26">
        <v>9.75</v>
      </c>
    </row>
    <row r="130" spans="1:10" ht="17" x14ac:dyDescent="0.2">
      <c r="A130" s="52">
        <v>42372</v>
      </c>
      <c r="B130" s="53">
        <f t="shared" si="41"/>
        <v>2016</v>
      </c>
      <c r="C130" s="58" t="s">
        <v>156</v>
      </c>
      <c r="D130" s="55" t="s">
        <v>288</v>
      </c>
      <c r="E130" s="78">
        <v>231</v>
      </c>
      <c r="F130" s="57">
        <v>0.17</v>
      </c>
      <c r="G130" s="109">
        <f t="shared" si="66"/>
        <v>39.270000000000003</v>
      </c>
      <c r="H130" s="121">
        <f t="shared" si="67"/>
        <v>270.27</v>
      </c>
      <c r="I130" s="42"/>
      <c r="J130" s="146">
        <v>3</v>
      </c>
    </row>
    <row r="131" spans="1:10" ht="17" x14ac:dyDescent="0.2">
      <c r="A131" s="52">
        <v>42372</v>
      </c>
      <c r="B131" s="53">
        <f t="shared" ref="B131:B194" si="70">YEAR(A131)</f>
        <v>2016</v>
      </c>
      <c r="C131" s="58" t="s">
        <v>183</v>
      </c>
      <c r="D131" s="55" t="s">
        <v>82</v>
      </c>
      <c r="E131" s="137">
        <v>1463</v>
      </c>
      <c r="F131" s="57">
        <v>0.17</v>
      </c>
      <c r="G131" s="138">
        <f t="shared" ref="G131" si="71">E131*F131</f>
        <v>248.71</v>
      </c>
      <c r="H131" s="139">
        <f t="shared" ref="H131" si="72">E131+G131</f>
        <v>1711.71</v>
      </c>
      <c r="I131" s="42"/>
      <c r="J131" s="6">
        <v>0</v>
      </c>
    </row>
    <row r="132" spans="1:10" ht="17" x14ac:dyDescent="0.2">
      <c r="A132" s="63">
        <v>42372</v>
      </c>
      <c r="B132" s="64">
        <f t="shared" si="70"/>
        <v>2016</v>
      </c>
      <c r="C132" s="65" t="s">
        <v>184</v>
      </c>
      <c r="D132" s="55" t="s">
        <v>288</v>
      </c>
      <c r="E132" s="89"/>
      <c r="F132" s="68">
        <v>0.17</v>
      </c>
      <c r="G132" s="110">
        <f t="shared" si="66"/>
        <v>0</v>
      </c>
      <c r="H132" s="122">
        <f t="shared" si="67"/>
        <v>0</v>
      </c>
      <c r="I132" s="43"/>
      <c r="J132" s="6" t="s">
        <v>202</v>
      </c>
    </row>
    <row r="133" spans="1:10" ht="17" x14ac:dyDescent="0.2">
      <c r="A133" s="52">
        <v>42404</v>
      </c>
      <c r="B133" s="53">
        <f t="shared" si="70"/>
        <v>2016</v>
      </c>
      <c r="C133" s="70" t="s">
        <v>50</v>
      </c>
      <c r="D133" s="55"/>
      <c r="E133" s="53"/>
      <c r="F133" s="57"/>
      <c r="G133" s="109"/>
      <c r="H133" s="121"/>
      <c r="I133" s="42"/>
      <c r="J133" s="6">
        <v>0</v>
      </c>
    </row>
    <row r="134" spans="1:10" ht="17" x14ac:dyDescent="0.2">
      <c r="A134" s="63">
        <v>42404</v>
      </c>
      <c r="B134" s="64">
        <f t="shared" si="70"/>
        <v>2016</v>
      </c>
      <c r="C134" s="65" t="s">
        <v>43</v>
      </c>
      <c r="D134" s="66" t="s">
        <v>83</v>
      </c>
      <c r="E134" s="74">
        <v>385.85</v>
      </c>
      <c r="F134" s="68">
        <v>0.17</v>
      </c>
      <c r="G134" s="110">
        <f t="shared" si="66"/>
        <v>65.594500000000011</v>
      </c>
      <c r="H134" s="122">
        <f t="shared" si="67"/>
        <v>451.44450000000006</v>
      </c>
      <c r="I134" s="43"/>
      <c r="J134" s="6">
        <v>0</v>
      </c>
    </row>
    <row r="135" spans="1:10" ht="17" x14ac:dyDescent="0.2">
      <c r="A135" s="52">
        <v>42372</v>
      </c>
      <c r="B135" s="53">
        <f t="shared" si="70"/>
        <v>2016</v>
      </c>
      <c r="C135" s="70" t="s">
        <v>51</v>
      </c>
      <c r="D135" s="55"/>
      <c r="E135" s="53"/>
      <c r="F135" s="57"/>
      <c r="G135" s="109"/>
      <c r="H135" s="121"/>
      <c r="I135" s="42"/>
      <c r="J135" s="6">
        <v>0</v>
      </c>
    </row>
    <row r="136" spans="1:10" ht="17" x14ac:dyDescent="0.2">
      <c r="A136" s="63">
        <v>42372</v>
      </c>
      <c r="B136" s="64">
        <f t="shared" si="70"/>
        <v>2016</v>
      </c>
      <c r="C136" s="65" t="s">
        <v>52</v>
      </c>
      <c r="D136" s="66" t="s">
        <v>287</v>
      </c>
      <c r="E136" s="64">
        <v>1400</v>
      </c>
      <c r="F136" s="68">
        <v>0.04</v>
      </c>
      <c r="G136" s="110">
        <f t="shared" si="66"/>
        <v>56</v>
      </c>
      <c r="H136" s="122">
        <f t="shared" si="67"/>
        <v>1456</v>
      </c>
      <c r="I136" s="43"/>
      <c r="J136" s="6">
        <v>0</v>
      </c>
    </row>
    <row r="137" spans="1:10" ht="17" x14ac:dyDescent="0.2">
      <c r="A137" s="52">
        <v>42414</v>
      </c>
      <c r="B137" s="53">
        <f t="shared" si="70"/>
        <v>2016</v>
      </c>
      <c r="C137" s="70" t="s">
        <v>106</v>
      </c>
      <c r="D137" s="55"/>
      <c r="E137" s="53"/>
      <c r="F137" s="57"/>
      <c r="G137" s="109"/>
      <c r="H137" s="121"/>
      <c r="I137" s="42"/>
      <c r="J137" s="6">
        <v>0</v>
      </c>
    </row>
    <row r="138" spans="1:10" ht="17" x14ac:dyDescent="0.2">
      <c r="A138" s="52">
        <v>42414</v>
      </c>
      <c r="B138" s="53">
        <f t="shared" si="70"/>
        <v>2016</v>
      </c>
      <c r="C138" s="58" t="s">
        <v>53</v>
      </c>
      <c r="D138" s="55" t="s">
        <v>292</v>
      </c>
      <c r="E138" s="88">
        <v>1482.01</v>
      </c>
      <c r="F138" s="57">
        <v>0.17</v>
      </c>
      <c r="G138" s="109">
        <f t="shared" si="66"/>
        <v>251.94170000000003</v>
      </c>
      <c r="H138" s="121">
        <f t="shared" si="67"/>
        <v>1733.9517000000001</v>
      </c>
      <c r="I138" s="42"/>
      <c r="J138" s="6">
        <v>0</v>
      </c>
    </row>
    <row r="139" spans="1:10" ht="17" x14ac:dyDescent="0.2">
      <c r="A139" s="52">
        <v>42414</v>
      </c>
      <c r="B139" s="53">
        <f t="shared" si="70"/>
        <v>2016</v>
      </c>
      <c r="C139" s="58" t="s">
        <v>54</v>
      </c>
      <c r="D139" s="55" t="s">
        <v>292</v>
      </c>
      <c r="E139" s="88">
        <v>365.48</v>
      </c>
      <c r="F139" s="57">
        <v>0.17</v>
      </c>
      <c r="G139" s="109">
        <f t="shared" si="66"/>
        <v>62.131600000000006</v>
      </c>
      <c r="H139" s="121">
        <f t="shared" si="67"/>
        <v>427.61160000000001</v>
      </c>
      <c r="I139" s="42"/>
      <c r="J139" s="6">
        <v>0</v>
      </c>
    </row>
    <row r="140" spans="1:10" ht="17" x14ac:dyDescent="0.2">
      <c r="A140" s="52">
        <v>42414</v>
      </c>
      <c r="B140" s="53">
        <f t="shared" si="70"/>
        <v>2016</v>
      </c>
      <c r="C140" s="58" t="s">
        <v>196</v>
      </c>
      <c r="D140" s="55" t="s">
        <v>292</v>
      </c>
      <c r="E140" s="78">
        <v>150</v>
      </c>
      <c r="F140" s="57">
        <v>0.17</v>
      </c>
      <c r="G140" s="109">
        <f t="shared" ref="G140" si="73">E140*F140</f>
        <v>25.500000000000004</v>
      </c>
      <c r="H140" s="121">
        <f t="shared" ref="H140" si="74">E140+G140</f>
        <v>175.5</v>
      </c>
      <c r="I140" s="42"/>
      <c r="J140" s="146">
        <v>0</v>
      </c>
    </row>
    <row r="141" spans="1:10" ht="17" x14ac:dyDescent="0.2">
      <c r="A141" s="52">
        <v>42414</v>
      </c>
      <c r="B141" s="53">
        <f t="shared" si="70"/>
        <v>2016</v>
      </c>
      <c r="C141" s="58" t="s">
        <v>197</v>
      </c>
      <c r="D141" s="55" t="s">
        <v>288</v>
      </c>
      <c r="E141" s="78"/>
      <c r="F141" s="57">
        <v>0.17</v>
      </c>
      <c r="G141" s="109">
        <f t="shared" si="66"/>
        <v>0</v>
      </c>
      <c r="H141" s="121">
        <f t="shared" si="67"/>
        <v>0</v>
      </c>
      <c r="I141" s="42"/>
      <c r="J141" s="146">
        <v>2</v>
      </c>
    </row>
    <row r="142" spans="1:10" ht="17" x14ac:dyDescent="0.2">
      <c r="A142" s="52">
        <v>42414</v>
      </c>
      <c r="B142" s="53">
        <f t="shared" si="70"/>
        <v>2016</v>
      </c>
      <c r="C142" s="58" t="s">
        <v>198</v>
      </c>
      <c r="D142" s="55" t="s">
        <v>85</v>
      </c>
      <c r="E142" s="78">
        <v>525</v>
      </c>
      <c r="F142" s="57">
        <v>0.17</v>
      </c>
      <c r="G142" s="109">
        <f t="shared" si="66"/>
        <v>89.25</v>
      </c>
      <c r="H142" s="121">
        <f t="shared" si="67"/>
        <v>614.25</v>
      </c>
      <c r="I142" s="42"/>
      <c r="J142" s="6">
        <v>0</v>
      </c>
    </row>
    <row r="143" spans="1:10" ht="17" x14ac:dyDescent="0.2">
      <c r="A143" s="52">
        <v>42414</v>
      </c>
      <c r="B143" s="53">
        <f t="shared" si="70"/>
        <v>2016</v>
      </c>
      <c r="C143" s="58" t="s">
        <v>199</v>
      </c>
      <c r="D143" s="55" t="s">
        <v>288</v>
      </c>
      <c r="E143" s="78"/>
      <c r="F143" s="57">
        <v>0.17</v>
      </c>
      <c r="G143" s="109">
        <f t="shared" ref="G143:G174" si="75">E143*F143</f>
        <v>0</v>
      </c>
      <c r="H143" s="121">
        <f t="shared" ref="H143:H174" si="76">E143+G143</f>
        <v>0</v>
      </c>
      <c r="I143" s="42"/>
      <c r="J143" s="146">
        <v>7</v>
      </c>
    </row>
    <row r="144" spans="1:10" ht="17" x14ac:dyDescent="0.2">
      <c r="A144" s="52">
        <v>42414</v>
      </c>
      <c r="B144" s="53">
        <f t="shared" si="70"/>
        <v>2016</v>
      </c>
      <c r="C144" s="58" t="s">
        <v>143</v>
      </c>
      <c r="D144" s="55" t="s">
        <v>129</v>
      </c>
      <c r="E144" s="88">
        <v>470</v>
      </c>
      <c r="F144" s="57">
        <v>0.17</v>
      </c>
      <c r="G144" s="109">
        <f t="shared" si="75"/>
        <v>79.900000000000006</v>
      </c>
      <c r="H144" s="121">
        <f t="shared" si="76"/>
        <v>549.9</v>
      </c>
      <c r="I144" s="42"/>
      <c r="J144" s="6">
        <v>0</v>
      </c>
    </row>
    <row r="145" spans="1:10" ht="17" x14ac:dyDescent="0.2">
      <c r="A145" s="63">
        <v>42414</v>
      </c>
      <c r="B145" s="64">
        <f t="shared" si="70"/>
        <v>2016</v>
      </c>
      <c r="C145" s="65" t="s">
        <v>144</v>
      </c>
      <c r="D145" s="55" t="s">
        <v>326</v>
      </c>
      <c r="E145" s="120">
        <v>-1800</v>
      </c>
      <c r="F145" s="68">
        <v>0</v>
      </c>
      <c r="G145" s="110">
        <f>E145*F145</f>
        <v>0</v>
      </c>
      <c r="H145" s="122">
        <f>E145+G145</f>
        <v>-1800</v>
      </c>
      <c r="I145" s="43"/>
      <c r="J145" s="6">
        <v>0</v>
      </c>
    </row>
    <row r="146" spans="1:10" ht="17" x14ac:dyDescent="0.2">
      <c r="A146" s="52">
        <v>42414</v>
      </c>
      <c r="B146" s="53">
        <f t="shared" si="70"/>
        <v>2016</v>
      </c>
      <c r="C146" s="70" t="s">
        <v>107</v>
      </c>
      <c r="D146" s="55"/>
      <c r="E146" s="53"/>
      <c r="F146" s="57"/>
      <c r="G146" s="109"/>
      <c r="H146" s="121"/>
      <c r="I146" s="42"/>
      <c r="J146" s="6">
        <v>0</v>
      </c>
    </row>
    <row r="147" spans="1:10" ht="17" x14ac:dyDescent="0.2">
      <c r="A147" s="52">
        <v>42414</v>
      </c>
      <c r="B147" s="53">
        <f t="shared" si="70"/>
        <v>2016</v>
      </c>
      <c r="C147" s="87" t="s">
        <v>145</v>
      </c>
      <c r="D147" s="55" t="s">
        <v>82</v>
      </c>
      <c r="E147" s="95">
        <v>136.6</v>
      </c>
      <c r="F147" s="57">
        <v>0.17</v>
      </c>
      <c r="G147" s="109">
        <f t="shared" si="75"/>
        <v>23.222000000000001</v>
      </c>
      <c r="H147" s="121">
        <f t="shared" si="76"/>
        <v>159.822</v>
      </c>
      <c r="I147" s="42"/>
      <c r="J147" s="6">
        <v>0</v>
      </c>
    </row>
    <row r="148" spans="1:10" s="16" customFormat="1" ht="34" x14ac:dyDescent="0.2">
      <c r="A148" s="79">
        <v>42414</v>
      </c>
      <c r="B148" s="80">
        <f t="shared" si="70"/>
        <v>2016</v>
      </c>
      <c r="C148" s="87" t="s">
        <v>235</v>
      </c>
      <c r="D148" s="81" t="s">
        <v>82</v>
      </c>
      <c r="E148" s="152">
        <v>131.25</v>
      </c>
      <c r="F148" s="82">
        <v>0.17</v>
      </c>
      <c r="G148" s="134">
        <f t="shared" ref="G148" si="77">E148*F148</f>
        <v>22.3125</v>
      </c>
      <c r="H148" s="135">
        <f t="shared" ref="H148" si="78">E148+G148</f>
        <v>153.5625</v>
      </c>
      <c r="I148" s="44"/>
      <c r="J148" s="26">
        <v>1.75</v>
      </c>
    </row>
    <row r="149" spans="1:10" s="16" customFormat="1" ht="17" x14ac:dyDescent="0.2">
      <c r="A149" s="91">
        <v>42414</v>
      </c>
      <c r="B149" s="164">
        <f t="shared" si="70"/>
        <v>2016</v>
      </c>
      <c r="C149" s="90" t="s">
        <v>236</v>
      </c>
      <c r="D149" s="92" t="s">
        <v>295</v>
      </c>
      <c r="E149" s="96"/>
      <c r="F149" s="94">
        <v>0.17</v>
      </c>
      <c r="G149" s="33">
        <f t="shared" si="75"/>
        <v>0</v>
      </c>
      <c r="H149" s="125">
        <f t="shared" si="76"/>
        <v>0</v>
      </c>
      <c r="I149" s="45"/>
      <c r="J149" s="26">
        <v>1.75</v>
      </c>
    </row>
    <row r="150" spans="1:10" ht="17" x14ac:dyDescent="0.2">
      <c r="A150" s="52">
        <v>42501</v>
      </c>
      <c r="B150" s="53">
        <f t="shared" si="70"/>
        <v>2016</v>
      </c>
      <c r="C150" s="70" t="s">
        <v>108</v>
      </c>
      <c r="D150" s="55"/>
      <c r="E150" s="53"/>
      <c r="F150" s="57"/>
      <c r="G150" s="109"/>
      <c r="H150" s="121"/>
      <c r="I150" s="42"/>
      <c r="J150" s="6">
        <v>0</v>
      </c>
    </row>
    <row r="151" spans="1:10" ht="17" x14ac:dyDescent="0.2">
      <c r="A151" s="52">
        <v>42501</v>
      </c>
      <c r="B151" s="53">
        <f t="shared" si="70"/>
        <v>2016</v>
      </c>
      <c r="C151" s="58" t="s">
        <v>194</v>
      </c>
      <c r="D151" s="55" t="s">
        <v>129</v>
      </c>
      <c r="E151" s="153">
        <v>315</v>
      </c>
      <c r="F151" s="57">
        <v>0.17</v>
      </c>
      <c r="G151" s="138">
        <f t="shared" ref="G151" si="79">E151*F151</f>
        <v>53.550000000000004</v>
      </c>
      <c r="H151" s="139">
        <f t="shared" ref="H151" si="80">E151+G151</f>
        <v>368.55</v>
      </c>
      <c r="I151" s="42"/>
      <c r="J151" s="6">
        <v>0</v>
      </c>
    </row>
    <row r="152" spans="1:10" ht="17" x14ac:dyDescent="0.2">
      <c r="A152" s="63">
        <v>42501</v>
      </c>
      <c r="B152" s="64">
        <f t="shared" si="70"/>
        <v>2016</v>
      </c>
      <c r="C152" s="65" t="s">
        <v>195</v>
      </c>
      <c r="D152" s="92" t="s">
        <v>288</v>
      </c>
      <c r="E152" s="77"/>
      <c r="F152" s="68">
        <v>0.17</v>
      </c>
      <c r="G152" s="110">
        <f t="shared" si="75"/>
        <v>0</v>
      </c>
      <c r="H152" s="122">
        <f t="shared" si="76"/>
        <v>0</v>
      </c>
      <c r="I152" s="43"/>
      <c r="J152" s="146">
        <v>4</v>
      </c>
    </row>
    <row r="153" spans="1:10" ht="17" x14ac:dyDescent="0.2">
      <c r="A153" s="52">
        <v>42515</v>
      </c>
      <c r="B153" s="53">
        <f t="shared" si="70"/>
        <v>2016</v>
      </c>
      <c r="C153" s="70" t="s">
        <v>109</v>
      </c>
      <c r="D153" s="55"/>
      <c r="E153" s="53"/>
      <c r="F153" s="57"/>
      <c r="G153" s="109"/>
      <c r="H153" s="121"/>
      <c r="I153" s="42"/>
      <c r="J153" s="6">
        <v>0</v>
      </c>
    </row>
    <row r="154" spans="1:10" ht="17" x14ac:dyDescent="0.2">
      <c r="A154" s="63">
        <v>42515</v>
      </c>
      <c r="B154" s="64">
        <f t="shared" si="70"/>
        <v>2016</v>
      </c>
      <c r="C154" s="65" t="s">
        <v>28</v>
      </c>
      <c r="D154" s="66" t="s">
        <v>83</v>
      </c>
      <c r="E154" s="77">
        <v>495</v>
      </c>
      <c r="F154" s="68">
        <v>0.17</v>
      </c>
      <c r="G154" s="110">
        <f t="shared" si="75"/>
        <v>84.15</v>
      </c>
      <c r="H154" s="122">
        <f t="shared" si="76"/>
        <v>579.15</v>
      </c>
      <c r="I154" s="43"/>
      <c r="J154" s="6">
        <v>0</v>
      </c>
    </row>
    <row r="155" spans="1:10" ht="17" x14ac:dyDescent="0.2">
      <c r="A155" s="52">
        <v>42937</v>
      </c>
      <c r="B155" s="53">
        <f t="shared" si="70"/>
        <v>2017</v>
      </c>
      <c r="C155" s="70" t="s">
        <v>110</v>
      </c>
      <c r="D155" s="55"/>
      <c r="E155" s="53"/>
      <c r="F155" s="57"/>
      <c r="G155" s="109"/>
      <c r="H155" s="121"/>
      <c r="I155" s="42"/>
      <c r="J155" s="6">
        <v>0</v>
      </c>
    </row>
    <row r="156" spans="1:10" ht="17" x14ac:dyDescent="0.2">
      <c r="A156" s="52">
        <v>42937</v>
      </c>
      <c r="B156" s="53">
        <f t="shared" si="70"/>
        <v>2017</v>
      </c>
      <c r="C156" s="58" t="s">
        <v>192</v>
      </c>
      <c r="D156" s="55" t="s">
        <v>130</v>
      </c>
      <c r="E156" s="153">
        <v>220.25</v>
      </c>
      <c r="F156" s="57">
        <v>0.17</v>
      </c>
      <c r="G156" s="138">
        <f t="shared" ref="G156" si="81">E156*F156</f>
        <v>37.442500000000003</v>
      </c>
      <c r="H156" s="139">
        <f t="shared" ref="H156" si="82">E156+G156</f>
        <v>257.6925</v>
      </c>
      <c r="I156" s="42"/>
      <c r="J156" s="6">
        <v>0</v>
      </c>
    </row>
    <row r="157" spans="1:10" ht="17" x14ac:dyDescent="0.2">
      <c r="A157" s="63">
        <v>42937</v>
      </c>
      <c r="B157" s="64">
        <f t="shared" si="70"/>
        <v>2017</v>
      </c>
      <c r="C157" s="65" t="s">
        <v>193</v>
      </c>
      <c r="D157" s="92" t="s">
        <v>288</v>
      </c>
      <c r="E157" s="77"/>
      <c r="F157" s="68">
        <v>0.17</v>
      </c>
      <c r="G157" s="110">
        <f t="shared" si="75"/>
        <v>0</v>
      </c>
      <c r="H157" s="122">
        <f t="shared" si="76"/>
        <v>0</v>
      </c>
      <c r="I157" s="43"/>
      <c r="J157" s="6">
        <v>2.5</v>
      </c>
    </row>
    <row r="158" spans="1:10" ht="17" x14ac:dyDescent="0.2">
      <c r="A158" s="52">
        <v>42722</v>
      </c>
      <c r="B158" s="53">
        <f t="shared" si="70"/>
        <v>2016</v>
      </c>
      <c r="C158" s="70" t="s">
        <v>111</v>
      </c>
      <c r="D158" s="55"/>
      <c r="E158" s="53"/>
      <c r="F158" s="57"/>
      <c r="G158" s="109"/>
      <c r="H158" s="121"/>
      <c r="I158" s="42"/>
      <c r="J158" s="6">
        <v>0</v>
      </c>
    </row>
    <row r="159" spans="1:10" ht="17" x14ac:dyDescent="0.2">
      <c r="A159" s="63">
        <v>42722</v>
      </c>
      <c r="B159" s="64">
        <f t="shared" si="70"/>
        <v>2016</v>
      </c>
      <c r="C159" s="65" t="s">
        <v>48</v>
      </c>
      <c r="D159" s="66" t="s">
        <v>83</v>
      </c>
      <c r="E159" s="77">
        <v>850</v>
      </c>
      <c r="F159" s="68">
        <v>0.17</v>
      </c>
      <c r="G159" s="110">
        <f t="shared" si="75"/>
        <v>144.5</v>
      </c>
      <c r="H159" s="122">
        <f t="shared" si="76"/>
        <v>994.5</v>
      </c>
      <c r="I159" s="43"/>
      <c r="J159" s="6">
        <v>0</v>
      </c>
    </row>
    <row r="160" spans="1:10" ht="17" x14ac:dyDescent="0.2">
      <c r="A160" s="52">
        <v>42728</v>
      </c>
      <c r="B160" s="53">
        <f t="shared" si="70"/>
        <v>2016</v>
      </c>
      <c r="C160" s="70" t="s">
        <v>55</v>
      </c>
      <c r="D160" s="55"/>
      <c r="E160" s="53"/>
      <c r="F160" s="57"/>
      <c r="G160" s="109"/>
      <c r="H160" s="121"/>
      <c r="I160" s="42"/>
      <c r="J160" s="6">
        <v>0</v>
      </c>
    </row>
    <row r="161" spans="1:10" ht="17" x14ac:dyDescent="0.2">
      <c r="A161" s="63">
        <v>42728</v>
      </c>
      <c r="B161" s="64">
        <f t="shared" si="70"/>
        <v>2016</v>
      </c>
      <c r="C161" s="65" t="s">
        <v>56</v>
      </c>
      <c r="D161" s="66" t="s">
        <v>287</v>
      </c>
      <c r="E161" s="74">
        <v>1400</v>
      </c>
      <c r="F161" s="68">
        <v>0.04</v>
      </c>
      <c r="G161" s="110">
        <f t="shared" si="75"/>
        <v>56</v>
      </c>
      <c r="H161" s="122">
        <f t="shared" si="76"/>
        <v>1456</v>
      </c>
      <c r="I161" s="43"/>
      <c r="J161" s="6">
        <v>0</v>
      </c>
    </row>
    <row r="162" spans="1:10" ht="17" x14ac:dyDescent="0.2">
      <c r="A162" s="52">
        <v>42740</v>
      </c>
      <c r="B162" s="53">
        <f t="shared" si="70"/>
        <v>2017</v>
      </c>
      <c r="C162" s="70" t="s">
        <v>191</v>
      </c>
      <c r="D162" s="55"/>
      <c r="E162" s="53"/>
      <c r="F162" s="57"/>
      <c r="G162" s="109"/>
      <c r="H162" s="121"/>
      <c r="I162" s="42"/>
      <c r="J162" s="6">
        <v>0</v>
      </c>
    </row>
    <row r="163" spans="1:10" ht="17" x14ac:dyDescent="0.2">
      <c r="A163" s="52">
        <v>42740</v>
      </c>
      <c r="B163" s="53">
        <f t="shared" si="70"/>
        <v>2017</v>
      </c>
      <c r="C163" s="58" t="s">
        <v>57</v>
      </c>
      <c r="D163" s="55" t="s">
        <v>82</v>
      </c>
      <c r="E163" s="78">
        <f xml:space="preserve"> 282.53 + 97.23 + 12.03 + 39.1 + 119.56 + 16.72 + 58.31 + 187.56 + 50</f>
        <v>863.04</v>
      </c>
      <c r="F163" s="57">
        <v>0.17</v>
      </c>
      <c r="G163" s="109">
        <f t="shared" si="75"/>
        <v>146.71680000000001</v>
      </c>
      <c r="H163" s="121">
        <f t="shared" si="76"/>
        <v>1009.7568</v>
      </c>
      <c r="I163" s="42"/>
      <c r="J163" s="6">
        <v>0</v>
      </c>
    </row>
    <row r="164" spans="1:10" ht="17" x14ac:dyDescent="0.2">
      <c r="A164" s="52">
        <v>42740</v>
      </c>
      <c r="B164" s="53">
        <f t="shared" si="70"/>
        <v>2017</v>
      </c>
      <c r="C164" s="58" t="s">
        <v>5</v>
      </c>
      <c r="D164" s="55" t="s">
        <v>275</v>
      </c>
      <c r="E164" s="88">
        <v>148.32</v>
      </c>
      <c r="F164" s="57">
        <v>0.17</v>
      </c>
      <c r="G164" s="109">
        <f t="shared" si="75"/>
        <v>25.214400000000001</v>
      </c>
      <c r="H164" s="121">
        <f t="shared" si="76"/>
        <v>173.53440000000001</v>
      </c>
      <c r="I164" s="42"/>
      <c r="J164" s="6">
        <v>0</v>
      </c>
    </row>
    <row r="165" spans="1:10" s="16" customFormat="1" ht="17" x14ac:dyDescent="0.2">
      <c r="A165" s="79">
        <v>42740</v>
      </c>
      <c r="B165" s="80">
        <f t="shared" si="70"/>
        <v>2017</v>
      </c>
      <c r="C165" s="58" t="s">
        <v>181</v>
      </c>
      <c r="D165" s="81" t="s">
        <v>82</v>
      </c>
      <c r="E165" s="78">
        <v>340</v>
      </c>
      <c r="F165" s="82">
        <v>0.17</v>
      </c>
      <c r="G165" s="111">
        <f t="shared" ref="G165" si="83">E165*F165</f>
        <v>57.800000000000004</v>
      </c>
      <c r="H165" s="123">
        <f t="shared" ref="H165" si="84">E165+G165</f>
        <v>397.8</v>
      </c>
      <c r="I165" s="44"/>
      <c r="J165" s="26">
        <v>0</v>
      </c>
    </row>
    <row r="166" spans="1:10" s="16" customFormat="1" ht="17" x14ac:dyDescent="0.2">
      <c r="A166" s="79">
        <v>42740</v>
      </c>
      <c r="B166" s="80">
        <f t="shared" si="70"/>
        <v>2017</v>
      </c>
      <c r="C166" s="58" t="s">
        <v>182</v>
      </c>
      <c r="D166" s="92" t="s">
        <v>288</v>
      </c>
      <c r="E166" s="78"/>
      <c r="F166" s="82">
        <v>0.17</v>
      </c>
      <c r="G166" s="111">
        <f t="shared" si="75"/>
        <v>0</v>
      </c>
      <c r="H166" s="123">
        <f t="shared" si="76"/>
        <v>0</v>
      </c>
      <c r="I166" s="44"/>
      <c r="J166" s="26">
        <v>4.5</v>
      </c>
    </row>
    <row r="167" spans="1:10" ht="17" x14ac:dyDescent="0.2">
      <c r="A167" s="52">
        <v>42740</v>
      </c>
      <c r="B167" s="53">
        <f t="shared" si="70"/>
        <v>2017</v>
      </c>
      <c r="C167" s="58" t="s">
        <v>8</v>
      </c>
      <c r="D167" s="92" t="s">
        <v>288</v>
      </c>
      <c r="E167" s="88">
        <f>3*82</f>
        <v>246</v>
      </c>
      <c r="F167" s="57">
        <v>0.17</v>
      </c>
      <c r="G167" s="109">
        <f t="shared" si="75"/>
        <v>41.82</v>
      </c>
      <c r="H167" s="121">
        <f t="shared" si="76"/>
        <v>287.82</v>
      </c>
      <c r="I167" s="42"/>
      <c r="J167" s="6">
        <v>0</v>
      </c>
    </row>
    <row r="168" spans="1:10" ht="17" x14ac:dyDescent="0.2">
      <c r="A168" s="52">
        <v>42740</v>
      </c>
      <c r="B168" s="53">
        <f t="shared" si="70"/>
        <v>2017</v>
      </c>
      <c r="C168" s="58" t="s">
        <v>183</v>
      </c>
      <c r="D168" s="55" t="s">
        <v>82</v>
      </c>
      <c r="E168" s="88">
        <v>1560</v>
      </c>
      <c r="F168" s="57">
        <v>0.17</v>
      </c>
      <c r="G168" s="109">
        <f t="shared" ref="G168" si="85">E168*F168</f>
        <v>265.20000000000005</v>
      </c>
      <c r="H168" s="121">
        <f t="shared" ref="H168" si="86">E168+G168</f>
        <v>1825.2</v>
      </c>
      <c r="I168" s="42"/>
      <c r="J168" s="6">
        <v>0</v>
      </c>
    </row>
    <row r="169" spans="1:10" ht="17" x14ac:dyDescent="0.2">
      <c r="A169" s="52">
        <v>42740</v>
      </c>
      <c r="B169" s="53">
        <f t="shared" si="70"/>
        <v>2017</v>
      </c>
      <c r="C169" s="58" t="s">
        <v>184</v>
      </c>
      <c r="D169" s="92" t="s">
        <v>288</v>
      </c>
      <c r="E169" s="88"/>
      <c r="F169" s="57">
        <v>0.17</v>
      </c>
      <c r="G169" s="109">
        <f t="shared" si="75"/>
        <v>0</v>
      </c>
      <c r="H169" s="121">
        <f t="shared" si="76"/>
        <v>0</v>
      </c>
      <c r="I169" s="42"/>
      <c r="J169" s="6">
        <v>19.5</v>
      </c>
    </row>
    <row r="170" spans="1:10" ht="17" x14ac:dyDescent="0.2">
      <c r="A170" s="52">
        <v>42740</v>
      </c>
      <c r="B170" s="53">
        <f t="shared" si="70"/>
        <v>2017</v>
      </c>
      <c r="C170" s="58" t="s">
        <v>185</v>
      </c>
      <c r="D170" s="55" t="s">
        <v>129</v>
      </c>
      <c r="E170" s="88">
        <v>325</v>
      </c>
      <c r="F170" s="57">
        <v>0.17</v>
      </c>
      <c r="G170" s="109">
        <f t="shared" ref="G170" si="87">E170*F170</f>
        <v>55.250000000000007</v>
      </c>
      <c r="H170" s="121">
        <f t="shared" ref="H170" si="88">E170+G170</f>
        <v>380.25</v>
      </c>
      <c r="I170" s="42"/>
      <c r="J170" s="6">
        <v>0</v>
      </c>
    </row>
    <row r="171" spans="1:10" ht="17" x14ac:dyDescent="0.2">
      <c r="A171" s="52">
        <v>42740</v>
      </c>
      <c r="B171" s="53">
        <f t="shared" si="70"/>
        <v>2017</v>
      </c>
      <c r="C171" s="58" t="s">
        <v>186</v>
      </c>
      <c r="D171" s="92" t="s">
        <v>288</v>
      </c>
      <c r="E171" s="88"/>
      <c r="F171" s="57">
        <v>0.17</v>
      </c>
      <c r="G171" s="109">
        <f t="shared" si="75"/>
        <v>0</v>
      </c>
      <c r="H171" s="121">
        <f t="shared" si="76"/>
        <v>0</v>
      </c>
      <c r="I171" s="42"/>
      <c r="J171" s="146">
        <v>4</v>
      </c>
    </row>
    <row r="172" spans="1:10" ht="17" x14ac:dyDescent="0.2">
      <c r="A172" s="52">
        <v>42740</v>
      </c>
      <c r="B172" s="53">
        <f t="shared" si="70"/>
        <v>2017</v>
      </c>
      <c r="C172" s="58" t="s">
        <v>187</v>
      </c>
      <c r="D172" s="55" t="s">
        <v>129</v>
      </c>
      <c r="E172" s="88">
        <v>133</v>
      </c>
      <c r="F172" s="57">
        <v>0.17</v>
      </c>
      <c r="G172" s="109">
        <f t="shared" ref="G172" si="89">E172*F172</f>
        <v>22.610000000000003</v>
      </c>
      <c r="H172" s="121">
        <f t="shared" ref="H172" si="90">E172+G172</f>
        <v>155.61000000000001</v>
      </c>
      <c r="I172" s="42"/>
      <c r="J172" s="6">
        <v>0</v>
      </c>
    </row>
    <row r="173" spans="1:10" ht="17" x14ac:dyDescent="0.2">
      <c r="A173" s="52">
        <v>42740</v>
      </c>
      <c r="B173" s="53">
        <f t="shared" si="70"/>
        <v>2017</v>
      </c>
      <c r="C173" s="58" t="s">
        <v>188</v>
      </c>
      <c r="D173" s="92" t="s">
        <v>288</v>
      </c>
      <c r="E173" s="88"/>
      <c r="F173" s="57">
        <v>0.17</v>
      </c>
      <c r="G173" s="109">
        <f t="shared" si="75"/>
        <v>0</v>
      </c>
      <c r="H173" s="121">
        <f t="shared" si="76"/>
        <v>0</v>
      </c>
      <c r="I173" s="42"/>
      <c r="J173" s="6">
        <v>1.5</v>
      </c>
    </row>
    <row r="174" spans="1:10" ht="17" x14ac:dyDescent="0.2">
      <c r="A174" s="52">
        <v>42740</v>
      </c>
      <c r="B174" s="53">
        <f t="shared" si="70"/>
        <v>2017</v>
      </c>
      <c r="C174" s="58" t="s">
        <v>189</v>
      </c>
      <c r="D174" s="55" t="s">
        <v>129</v>
      </c>
      <c r="E174" s="137">
        <v>240</v>
      </c>
      <c r="F174" s="57">
        <v>0.17</v>
      </c>
      <c r="G174" s="138">
        <f t="shared" si="75"/>
        <v>40.800000000000004</v>
      </c>
      <c r="H174" s="139">
        <f t="shared" si="76"/>
        <v>280.8</v>
      </c>
      <c r="I174" s="42"/>
      <c r="J174" s="6">
        <v>0</v>
      </c>
    </row>
    <row r="175" spans="1:10" ht="17" x14ac:dyDescent="0.2">
      <c r="A175" s="52">
        <v>42740</v>
      </c>
      <c r="B175" s="53">
        <f t="shared" si="70"/>
        <v>2017</v>
      </c>
      <c r="C175" s="58" t="s">
        <v>190</v>
      </c>
      <c r="D175" s="92" t="s">
        <v>288</v>
      </c>
      <c r="E175" s="137"/>
      <c r="F175" s="57">
        <v>0.17</v>
      </c>
      <c r="G175" s="138">
        <f t="shared" ref="G175:G204" si="91">E175*F175</f>
        <v>0</v>
      </c>
      <c r="H175" s="139">
        <f t="shared" ref="H175:H204" si="92">E175+G175</f>
        <v>0</v>
      </c>
      <c r="I175" s="42"/>
      <c r="J175" s="146">
        <v>3</v>
      </c>
    </row>
    <row r="176" spans="1:10" ht="17" x14ac:dyDescent="0.2">
      <c r="A176" s="72">
        <v>42750</v>
      </c>
      <c r="B176" s="141">
        <f t="shared" si="70"/>
        <v>2017</v>
      </c>
      <c r="C176" s="73" t="s">
        <v>112</v>
      </c>
      <c r="D176" s="128"/>
      <c r="E176" s="141"/>
      <c r="F176" s="129"/>
      <c r="G176" s="130"/>
      <c r="H176" s="131"/>
      <c r="I176" s="132"/>
      <c r="J176" s="6">
        <v>0</v>
      </c>
    </row>
    <row r="177" spans="1:10" s="16" customFormat="1" ht="34" x14ac:dyDescent="0.2">
      <c r="A177" s="79">
        <v>42750</v>
      </c>
      <c r="B177" s="80">
        <f t="shared" si="70"/>
        <v>2017</v>
      </c>
      <c r="C177" s="87" t="s">
        <v>146</v>
      </c>
      <c r="D177" s="81" t="s">
        <v>129</v>
      </c>
      <c r="E177" s="85">
        <v>152.47999999999999</v>
      </c>
      <c r="F177" s="82">
        <v>0.17</v>
      </c>
      <c r="G177" s="111">
        <f t="shared" si="91"/>
        <v>25.921600000000002</v>
      </c>
      <c r="H177" s="123">
        <f t="shared" si="92"/>
        <v>178.4016</v>
      </c>
      <c r="I177" s="44"/>
      <c r="J177" s="26">
        <v>0</v>
      </c>
    </row>
    <row r="178" spans="1:10" s="16" customFormat="1" ht="34" x14ac:dyDescent="0.2">
      <c r="A178" s="79">
        <v>42750</v>
      </c>
      <c r="B178" s="80">
        <f t="shared" si="70"/>
        <v>2017</v>
      </c>
      <c r="C178" s="87" t="s">
        <v>179</v>
      </c>
      <c r="D178" s="81" t="s">
        <v>129</v>
      </c>
      <c r="E178" s="154">
        <v>120</v>
      </c>
      <c r="F178" s="82">
        <v>0.17</v>
      </c>
      <c r="G178" s="134">
        <f t="shared" ref="G178" si="93">E178*F178</f>
        <v>20.400000000000002</v>
      </c>
      <c r="H178" s="135">
        <f t="shared" ref="H178" si="94">E178+G178</f>
        <v>140.4</v>
      </c>
      <c r="I178" s="44"/>
      <c r="J178" s="26">
        <v>0</v>
      </c>
    </row>
    <row r="179" spans="1:10" s="16" customFormat="1" ht="34" x14ac:dyDescent="0.2">
      <c r="A179" s="91">
        <v>42750</v>
      </c>
      <c r="B179" s="164">
        <f t="shared" si="70"/>
        <v>2017</v>
      </c>
      <c r="C179" s="90" t="s">
        <v>180</v>
      </c>
      <c r="D179" s="92" t="s">
        <v>288</v>
      </c>
      <c r="E179" s="98"/>
      <c r="F179" s="94">
        <v>0.17</v>
      </c>
      <c r="G179" s="33">
        <f t="shared" si="91"/>
        <v>0</v>
      </c>
      <c r="H179" s="125">
        <f t="shared" si="92"/>
        <v>0</v>
      </c>
      <c r="I179" s="45"/>
      <c r="J179" s="26">
        <v>1.5</v>
      </c>
    </row>
    <row r="180" spans="1:10" ht="17" x14ac:dyDescent="0.2">
      <c r="A180" s="52">
        <v>42756</v>
      </c>
      <c r="B180" s="53">
        <f t="shared" si="70"/>
        <v>2017</v>
      </c>
      <c r="C180" s="70" t="s">
        <v>58</v>
      </c>
      <c r="D180" s="55"/>
      <c r="E180" s="53"/>
      <c r="F180" s="57"/>
      <c r="G180" s="109"/>
      <c r="H180" s="121"/>
      <c r="I180" s="42"/>
      <c r="J180" s="6">
        <v>0</v>
      </c>
    </row>
    <row r="181" spans="1:10" s="16" customFormat="1" ht="17" x14ac:dyDescent="0.2">
      <c r="A181" s="91">
        <v>42756</v>
      </c>
      <c r="B181" s="164">
        <f t="shared" si="70"/>
        <v>2017</v>
      </c>
      <c r="C181" s="90" t="s">
        <v>178</v>
      </c>
      <c r="D181" s="92" t="s">
        <v>83</v>
      </c>
      <c r="E181" s="98">
        <v>124.33</v>
      </c>
      <c r="F181" s="94">
        <v>0.17</v>
      </c>
      <c r="G181" s="33">
        <f t="shared" si="91"/>
        <v>21.136100000000003</v>
      </c>
      <c r="H181" s="125">
        <f t="shared" si="92"/>
        <v>145.46610000000001</v>
      </c>
      <c r="I181" s="45"/>
      <c r="J181" s="26">
        <v>0</v>
      </c>
    </row>
    <row r="182" spans="1:10" ht="17" x14ac:dyDescent="0.2">
      <c r="A182" s="52">
        <v>42740</v>
      </c>
      <c r="B182" s="53">
        <f t="shared" si="70"/>
        <v>2017</v>
      </c>
      <c r="C182" s="70" t="s">
        <v>58</v>
      </c>
      <c r="D182" s="55"/>
      <c r="E182" s="53"/>
      <c r="F182" s="57"/>
      <c r="G182" s="109"/>
      <c r="H182" s="121"/>
      <c r="I182" s="42"/>
      <c r="J182" s="6">
        <v>0</v>
      </c>
    </row>
    <row r="183" spans="1:10" ht="17" x14ac:dyDescent="0.2">
      <c r="A183" s="63">
        <v>42740</v>
      </c>
      <c r="B183" s="64">
        <f t="shared" si="70"/>
        <v>2017</v>
      </c>
      <c r="C183" s="65" t="s">
        <v>59</v>
      </c>
      <c r="D183" s="66" t="s">
        <v>83</v>
      </c>
      <c r="E183" s="77">
        <v>386.8</v>
      </c>
      <c r="F183" s="68">
        <v>0.17</v>
      </c>
      <c r="G183" s="110">
        <f t="shared" si="91"/>
        <v>65.756</v>
      </c>
      <c r="H183" s="122">
        <f t="shared" si="92"/>
        <v>452.55600000000004</v>
      </c>
      <c r="I183" s="43"/>
      <c r="J183" s="6">
        <v>0</v>
      </c>
    </row>
    <row r="184" spans="1:10" ht="17" x14ac:dyDescent="0.2">
      <c r="A184" s="52">
        <v>42768</v>
      </c>
      <c r="B184" s="53">
        <f t="shared" si="70"/>
        <v>2017</v>
      </c>
      <c r="C184" s="70" t="s">
        <v>113</v>
      </c>
      <c r="D184" s="55"/>
      <c r="E184" s="53"/>
      <c r="F184" s="57"/>
      <c r="G184" s="109"/>
      <c r="H184" s="121"/>
      <c r="I184" s="42"/>
      <c r="J184" s="6">
        <v>0</v>
      </c>
    </row>
    <row r="185" spans="1:10" ht="17" x14ac:dyDescent="0.2">
      <c r="A185" s="52">
        <v>42768</v>
      </c>
      <c r="B185" s="53">
        <f t="shared" si="70"/>
        <v>2017</v>
      </c>
      <c r="C185" s="58" t="s">
        <v>177</v>
      </c>
      <c r="D185" s="55" t="s">
        <v>129</v>
      </c>
      <c r="E185" s="153">
        <v>83</v>
      </c>
      <c r="F185" s="57">
        <v>0.17</v>
      </c>
      <c r="G185" s="109">
        <f>E185*F185</f>
        <v>14.110000000000001</v>
      </c>
      <c r="H185" s="139">
        <f t="shared" ref="H185" si="95">E185+G185</f>
        <v>97.11</v>
      </c>
      <c r="I185" s="42"/>
      <c r="J185" s="6">
        <v>0</v>
      </c>
    </row>
    <row r="186" spans="1:10" ht="17" x14ac:dyDescent="0.2">
      <c r="A186" s="63">
        <v>42768</v>
      </c>
      <c r="B186" s="64">
        <f t="shared" si="70"/>
        <v>2017</v>
      </c>
      <c r="C186" s="65" t="s">
        <v>176</v>
      </c>
      <c r="D186" s="92" t="s">
        <v>288</v>
      </c>
      <c r="E186" s="77"/>
      <c r="F186" s="68">
        <v>0.17</v>
      </c>
      <c r="G186" s="110">
        <f t="shared" si="91"/>
        <v>0</v>
      </c>
      <c r="H186" s="122">
        <f t="shared" si="92"/>
        <v>0</v>
      </c>
      <c r="I186" s="43"/>
      <c r="J186" s="146">
        <v>1</v>
      </c>
    </row>
    <row r="187" spans="1:10" ht="17" x14ac:dyDescent="0.2">
      <c r="A187" s="52">
        <v>42768</v>
      </c>
      <c r="B187" s="53">
        <f t="shared" si="70"/>
        <v>2017</v>
      </c>
      <c r="C187" s="70" t="s">
        <v>60</v>
      </c>
      <c r="D187" s="55"/>
      <c r="E187" s="53"/>
      <c r="F187" s="57"/>
      <c r="G187" s="109"/>
      <c r="H187" s="121"/>
      <c r="I187" s="42"/>
      <c r="J187" s="6">
        <v>0</v>
      </c>
    </row>
    <row r="188" spans="1:10" ht="17" x14ac:dyDescent="0.2">
      <c r="A188" s="63">
        <v>42768</v>
      </c>
      <c r="B188" s="64">
        <f t="shared" si="70"/>
        <v>2017</v>
      </c>
      <c r="C188" s="65" t="s">
        <v>61</v>
      </c>
      <c r="D188" s="66" t="s">
        <v>83</v>
      </c>
      <c r="E188" s="77">
        <v>46</v>
      </c>
      <c r="F188" s="68">
        <v>0.17</v>
      </c>
      <c r="G188" s="110">
        <f t="shared" si="91"/>
        <v>7.82</v>
      </c>
      <c r="H188" s="122">
        <f t="shared" si="92"/>
        <v>53.82</v>
      </c>
      <c r="I188" s="43"/>
      <c r="J188" s="6">
        <v>0</v>
      </c>
    </row>
    <row r="189" spans="1:10" ht="17" x14ac:dyDescent="0.2">
      <c r="A189" s="52">
        <v>42817</v>
      </c>
      <c r="B189" s="53">
        <f t="shared" si="70"/>
        <v>2017</v>
      </c>
      <c r="C189" s="70" t="s">
        <v>114</v>
      </c>
      <c r="D189" s="55"/>
      <c r="E189" s="53"/>
      <c r="F189" s="57"/>
      <c r="G189" s="109"/>
      <c r="H189" s="121"/>
      <c r="I189" s="42"/>
      <c r="J189" s="6">
        <v>0</v>
      </c>
    </row>
    <row r="190" spans="1:10" s="16" customFormat="1" ht="34" x14ac:dyDescent="0.2">
      <c r="A190" s="79">
        <v>42817</v>
      </c>
      <c r="B190" s="80">
        <f t="shared" si="70"/>
        <v>2017</v>
      </c>
      <c r="C190" s="58" t="s">
        <v>171</v>
      </c>
      <c r="D190" s="81" t="s">
        <v>295</v>
      </c>
      <c r="E190" s="78">
        <v>3870.48</v>
      </c>
      <c r="F190" s="82">
        <v>0.17</v>
      </c>
      <c r="G190" s="111">
        <f t="shared" si="91"/>
        <v>657.98160000000007</v>
      </c>
      <c r="H190" s="123">
        <f t="shared" si="92"/>
        <v>4528.4616000000005</v>
      </c>
      <c r="I190" s="44"/>
      <c r="J190" s="26">
        <v>0</v>
      </c>
    </row>
    <row r="191" spans="1:10" ht="17" x14ac:dyDescent="0.2">
      <c r="A191" s="52">
        <v>42817</v>
      </c>
      <c r="B191" s="53">
        <f t="shared" si="70"/>
        <v>2017</v>
      </c>
      <c r="C191" s="58" t="s">
        <v>172</v>
      </c>
      <c r="D191" s="55" t="s">
        <v>89</v>
      </c>
      <c r="E191" s="88">
        <v>15.45</v>
      </c>
      <c r="F191" s="57">
        <v>0.17</v>
      </c>
      <c r="G191" s="109">
        <f t="shared" ref="G191" si="96">E191*F191</f>
        <v>2.6265000000000001</v>
      </c>
      <c r="H191" s="121">
        <f t="shared" ref="H191" si="97">E191+G191</f>
        <v>18.076499999999999</v>
      </c>
      <c r="I191" s="42"/>
      <c r="J191" s="6">
        <v>0</v>
      </c>
    </row>
    <row r="192" spans="1:10" ht="17" x14ac:dyDescent="0.2">
      <c r="A192" s="52">
        <v>42817</v>
      </c>
      <c r="B192" s="53">
        <f t="shared" si="70"/>
        <v>2017</v>
      </c>
      <c r="C192" s="58" t="s">
        <v>175</v>
      </c>
      <c r="D192" s="55" t="s">
        <v>82</v>
      </c>
      <c r="E192" s="88">
        <f>12.88+20.67+15</f>
        <v>48.550000000000004</v>
      </c>
      <c r="F192" s="57">
        <v>0.17</v>
      </c>
      <c r="G192" s="109">
        <f t="shared" si="91"/>
        <v>8.2535000000000007</v>
      </c>
      <c r="H192" s="121">
        <f t="shared" si="92"/>
        <v>56.803500000000007</v>
      </c>
      <c r="I192" s="42"/>
      <c r="J192" s="6">
        <v>0</v>
      </c>
    </row>
    <row r="193" spans="1:10" ht="17" x14ac:dyDescent="0.2">
      <c r="A193" s="52">
        <v>42817</v>
      </c>
      <c r="B193" s="53">
        <f t="shared" si="70"/>
        <v>2017</v>
      </c>
      <c r="C193" s="58" t="s">
        <v>173</v>
      </c>
      <c r="D193" s="81" t="s">
        <v>295</v>
      </c>
      <c r="E193" s="78">
        <f>14.5*82</f>
        <v>1189</v>
      </c>
      <c r="F193" s="57">
        <v>0.17</v>
      </c>
      <c r="G193" s="109">
        <f t="shared" ref="G193" si="98">E193*F193</f>
        <v>202.13000000000002</v>
      </c>
      <c r="H193" s="121">
        <f t="shared" ref="H193" si="99">E193+G193</f>
        <v>1391.13</v>
      </c>
      <c r="I193" s="42"/>
      <c r="J193" s="6">
        <v>0</v>
      </c>
    </row>
    <row r="194" spans="1:10" ht="17" x14ac:dyDescent="0.2">
      <c r="A194" s="52">
        <v>42817</v>
      </c>
      <c r="B194" s="53">
        <f t="shared" si="70"/>
        <v>2017</v>
      </c>
      <c r="C194" s="58" t="s">
        <v>174</v>
      </c>
      <c r="D194" s="92" t="s">
        <v>288</v>
      </c>
      <c r="E194" s="78"/>
      <c r="F194" s="57">
        <v>0.17</v>
      </c>
      <c r="G194" s="109">
        <f t="shared" si="91"/>
        <v>0</v>
      </c>
      <c r="H194" s="121">
        <f t="shared" si="92"/>
        <v>0</v>
      </c>
      <c r="I194" s="42"/>
      <c r="J194" s="6">
        <v>14.5</v>
      </c>
    </row>
    <row r="195" spans="1:10" ht="17" x14ac:dyDescent="0.2">
      <c r="A195" s="52">
        <v>42817</v>
      </c>
      <c r="B195" s="53">
        <f t="shared" ref="B195:B210" si="100">YEAR(A195)</f>
        <v>2017</v>
      </c>
      <c r="C195" s="58" t="s">
        <v>156</v>
      </c>
      <c r="D195" s="92" t="s">
        <v>288</v>
      </c>
      <c r="E195" s="88">
        <f>3*82</f>
        <v>246</v>
      </c>
      <c r="F195" s="57">
        <v>0.17</v>
      </c>
      <c r="G195" s="109">
        <f t="shared" si="91"/>
        <v>41.82</v>
      </c>
      <c r="H195" s="121">
        <f t="shared" si="92"/>
        <v>287.82</v>
      </c>
      <c r="I195" s="42"/>
      <c r="J195" s="146">
        <v>3</v>
      </c>
    </row>
    <row r="196" spans="1:10" ht="17" x14ac:dyDescent="0.2">
      <c r="A196" s="52">
        <v>42817</v>
      </c>
      <c r="B196" s="53">
        <f t="shared" si="100"/>
        <v>2017</v>
      </c>
      <c r="C196" s="65" t="s">
        <v>115</v>
      </c>
      <c r="D196" s="55" t="s">
        <v>326</v>
      </c>
      <c r="E196" s="77">
        <v>-1800</v>
      </c>
      <c r="F196" s="68">
        <v>0.17</v>
      </c>
      <c r="G196" s="110">
        <f t="shared" si="91"/>
        <v>-306</v>
      </c>
      <c r="H196" s="122">
        <f t="shared" si="92"/>
        <v>-2106</v>
      </c>
      <c r="I196" s="43"/>
      <c r="J196" s="6">
        <v>0</v>
      </c>
    </row>
    <row r="197" spans="1:10" ht="17" x14ac:dyDescent="0.2">
      <c r="A197" s="52">
        <v>43014</v>
      </c>
      <c r="B197" s="53">
        <f t="shared" si="100"/>
        <v>2017</v>
      </c>
      <c r="C197" s="70" t="s">
        <v>116</v>
      </c>
      <c r="D197" s="55"/>
      <c r="E197" s="53"/>
      <c r="F197" s="57"/>
      <c r="G197" s="109"/>
      <c r="H197" s="121"/>
      <c r="I197" s="42"/>
      <c r="J197" s="6">
        <v>0</v>
      </c>
    </row>
    <row r="198" spans="1:10" ht="17" x14ac:dyDescent="0.2">
      <c r="A198" s="63">
        <v>43014</v>
      </c>
      <c r="B198" s="64">
        <f t="shared" si="100"/>
        <v>2017</v>
      </c>
      <c r="C198" s="65" t="s">
        <v>62</v>
      </c>
      <c r="D198" s="66" t="s">
        <v>130</v>
      </c>
      <c r="E198" s="99">
        <v>302</v>
      </c>
      <c r="F198" s="68">
        <v>0.17</v>
      </c>
      <c r="G198" s="110">
        <f t="shared" si="91"/>
        <v>51.34</v>
      </c>
      <c r="H198" s="122">
        <f t="shared" si="92"/>
        <v>353.34000000000003</v>
      </c>
      <c r="I198" s="43"/>
      <c r="J198" s="6">
        <v>0</v>
      </c>
    </row>
    <row r="199" spans="1:10" ht="17" x14ac:dyDescent="0.2">
      <c r="A199" s="52">
        <v>43064</v>
      </c>
      <c r="B199" s="53">
        <f t="shared" si="100"/>
        <v>2017</v>
      </c>
      <c r="C199" s="70" t="s">
        <v>117</v>
      </c>
      <c r="D199" s="55"/>
      <c r="E199" s="53"/>
      <c r="F199" s="57"/>
      <c r="G199" s="109"/>
      <c r="H199" s="121"/>
      <c r="I199" s="42"/>
      <c r="J199" s="6">
        <v>0</v>
      </c>
    </row>
    <row r="200" spans="1:10" ht="17" x14ac:dyDescent="0.2">
      <c r="A200" s="63">
        <v>43064</v>
      </c>
      <c r="B200" s="64">
        <f t="shared" si="100"/>
        <v>2017</v>
      </c>
      <c r="C200" s="65" t="s">
        <v>63</v>
      </c>
      <c r="D200" s="66" t="s">
        <v>83</v>
      </c>
      <c r="E200" s="74">
        <v>700</v>
      </c>
      <c r="F200" s="68">
        <v>0.17</v>
      </c>
      <c r="G200" s="110">
        <f t="shared" si="91"/>
        <v>119.00000000000001</v>
      </c>
      <c r="H200" s="122">
        <f t="shared" si="92"/>
        <v>819</v>
      </c>
      <c r="I200" s="43"/>
      <c r="J200" s="6">
        <v>0</v>
      </c>
    </row>
    <row r="201" spans="1:10" ht="17" x14ac:dyDescent="0.2">
      <c r="A201" s="52">
        <v>43074</v>
      </c>
      <c r="B201" s="53">
        <f t="shared" si="100"/>
        <v>2017</v>
      </c>
      <c r="C201" s="70" t="s">
        <v>118</v>
      </c>
      <c r="D201" s="55"/>
      <c r="E201" s="53"/>
      <c r="F201" s="57"/>
      <c r="G201" s="109"/>
      <c r="H201" s="121"/>
      <c r="I201" s="42"/>
      <c r="J201" s="6">
        <v>0</v>
      </c>
    </row>
    <row r="202" spans="1:10" ht="17" x14ac:dyDescent="0.2">
      <c r="A202" s="63">
        <v>43074</v>
      </c>
      <c r="B202" s="64">
        <f t="shared" si="100"/>
        <v>2017</v>
      </c>
      <c r="C202" s="65" t="s">
        <v>64</v>
      </c>
      <c r="D202" s="66" t="s">
        <v>10</v>
      </c>
      <c r="E202" s="99">
        <v>9082.74</v>
      </c>
      <c r="F202" s="68">
        <v>0.17</v>
      </c>
      <c r="G202" s="110">
        <f t="shared" si="91"/>
        <v>1544.0658000000001</v>
      </c>
      <c r="H202" s="122">
        <f t="shared" si="92"/>
        <v>10626.8058</v>
      </c>
      <c r="I202" s="43"/>
      <c r="J202" s="6">
        <v>0</v>
      </c>
    </row>
    <row r="203" spans="1:10" ht="17" x14ac:dyDescent="0.2">
      <c r="A203" s="52">
        <v>43092</v>
      </c>
      <c r="B203" s="53">
        <f t="shared" si="100"/>
        <v>2017</v>
      </c>
      <c r="C203" s="70" t="s">
        <v>65</v>
      </c>
      <c r="D203" s="55"/>
      <c r="E203" s="53"/>
      <c r="F203" s="57"/>
      <c r="G203" s="109"/>
      <c r="H203" s="121"/>
      <c r="I203" s="42"/>
      <c r="J203" s="6">
        <v>0</v>
      </c>
    </row>
    <row r="204" spans="1:10" ht="17" x14ac:dyDescent="0.2">
      <c r="A204" s="63">
        <v>43092</v>
      </c>
      <c r="B204" s="64">
        <f t="shared" si="100"/>
        <v>2017</v>
      </c>
      <c r="C204" s="65" t="s">
        <v>66</v>
      </c>
      <c r="D204" s="66" t="s">
        <v>83</v>
      </c>
      <c r="E204" s="77">
        <v>127.53</v>
      </c>
      <c r="F204" s="68">
        <v>0.17</v>
      </c>
      <c r="G204" s="110">
        <f t="shared" si="91"/>
        <v>21.680100000000003</v>
      </c>
      <c r="H204" s="122">
        <f t="shared" si="92"/>
        <v>149.21010000000001</v>
      </c>
      <c r="I204" s="43"/>
      <c r="J204" s="6">
        <v>0</v>
      </c>
    </row>
    <row r="205" spans="1:10" ht="17" x14ac:dyDescent="0.2">
      <c r="A205" s="52">
        <v>43109</v>
      </c>
      <c r="B205" s="53">
        <f t="shared" si="100"/>
        <v>2018</v>
      </c>
      <c r="C205" s="70" t="s">
        <v>119</v>
      </c>
      <c r="D205" s="55"/>
      <c r="E205" s="86"/>
      <c r="F205" s="57"/>
      <c r="G205" s="109"/>
      <c r="H205" s="121"/>
      <c r="I205" s="42"/>
      <c r="J205" s="6">
        <v>0</v>
      </c>
    </row>
    <row r="206" spans="1:10" ht="17" x14ac:dyDescent="0.2">
      <c r="A206" s="63">
        <v>43109</v>
      </c>
      <c r="B206" s="64">
        <f t="shared" si="100"/>
        <v>2018</v>
      </c>
      <c r="C206" s="65" t="s">
        <v>67</v>
      </c>
      <c r="D206" s="66" t="s">
        <v>287</v>
      </c>
      <c r="E206" s="77">
        <v>1400</v>
      </c>
      <c r="F206" s="68">
        <v>0.04</v>
      </c>
      <c r="G206" s="110">
        <f t="shared" ref="G206:G208" si="101">E206*F206</f>
        <v>56</v>
      </c>
      <c r="H206" s="122">
        <f t="shared" ref="H206:H208" si="102">E206+G206</f>
        <v>1456</v>
      </c>
      <c r="I206" s="43"/>
      <c r="J206" s="6">
        <v>0</v>
      </c>
    </row>
    <row r="207" spans="1:10" ht="17" x14ac:dyDescent="0.2">
      <c r="A207" s="52">
        <v>43218</v>
      </c>
      <c r="B207" s="53">
        <f t="shared" si="100"/>
        <v>2018</v>
      </c>
      <c r="C207" s="58" t="s">
        <v>168</v>
      </c>
      <c r="D207" s="55" t="s">
        <v>130</v>
      </c>
      <c r="E207" s="86">
        <v>20.5</v>
      </c>
      <c r="F207" s="57">
        <v>0.17</v>
      </c>
      <c r="G207" s="109">
        <f t="shared" ref="G207" si="103">E207*F207</f>
        <v>3.4850000000000003</v>
      </c>
      <c r="H207" s="121">
        <f t="shared" ref="H207" si="104">E207+G207</f>
        <v>23.984999999999999</v>
      </c>
      <c r="I207" s="42"/>
      <c r="J207" s="6">
        <v>0</v>
      </c>
    </row>
    <row r="208" spans="1:10" ht="17" x14ac:dyDescent="0.2">
      <c r="A208" s="52">
        <v>43218</v>
      </c>
      <c r="B208" s="53">
        <f t="shared" si="100"/>
        <v>2018</v>
      </c>
      <c r="C208" s="58" t="s">
        <v>167</v>
      </c>
      <c r="D208" s="92" t="s">
        <v>288</v>
      </c>
      <c r="E208" s="86"/>
      <c r="F208" s="57">
        <v>0.17</v>
      </c>
      <c r="G208" s="109">
        <f t="shared" si="101"/>
        <v>0</v>
      </c>
      <c r="H208" s="121">
        <f t="shared" si="102"/>
        <v>0</v>
      </c>
      <c r="I208" s="42"/>
      <c r="J208" s="6">
        <v>0.25</v>
      </c>
    </row>
    <row r="209" spans="1:10" ht="17" x14ac:dyDescent="0.2">
      <c r="A209" s="52">
        <v>43395</v>
      </c>
      <c r="B209" s="53">
        <f t="shared" si="100"/>
        <v>2018</v>
      </c>
      <c r="C209" s="70" t="s">
        <v>120</v>
      </c>
      <c r="D209" s="55"/>
      <c r="E209" s="53"/>
      <c r="F209" s="57"/>
      <c r="G209" s="109"/>
      <c r="H209" s="121"/>
      <c r="I209" s="42"/>
      <c r="J209" s="26">
        <v>0</v>
      </c>
    </row>
    <row r="210" spans="1:10" s="16" customFormat="1" ht="17" x14ac:dyDescent="0.2">
      <c r="A210" s="170">
        <v>43384</v>
      </c>
      <c r="B210" s="80">
        <f t="shared" si="100"/>
        <v>2018</v>
      </c>
      <c r="C210" s="87" t="s">
        <v>121</v>
      </c>
      <c r="D210" s="81" t="s">
        <v>276</v>
      </c>
      <c r="E210" s="97">
        <v>110</v>
      </c>
      <c r="F210" s="82">
        <v>0</v>
      </c>
      <c r="G210" s="111">
        <f t="shared" ref="G210" si="105">E210*F210</f>
        <v>0</v>
      </c>
      <c r="H210" s="123">
        <f t="shared" ref="H210" si="106">E210+G210</f>
        <v>110</v>
      </c>
      <c r="I210" s="44"/>
      <c r="J210" s="26">
        <v>0</v>
      </c>
    </row>
    <row r="211" spans="1:10" ht="17" x14ac:dyDescent="0.2">
      <c r="A211" s="52">
        <v>43515</v>
      </c>
      <c r="B211" s="53">
        <f t="shared" ref="B211" si="107">YEAR(A211)</f>
        <v>2019</v>
      </c>
      <c r="C211" s="70" t="s">
        <v>124</v>
      </c>
      <c r="D211" s="55"/>
      <c r="E211" s="88"/>
      <c r="F211" s="57"/>
      <c r="G211" s="109"/>
      <c r="H211" s="121"/>
      <c r="I211" s="42"/>
      <c r="J211" s="26">
        <v>0</v>
      </c>
    </row>
    <row r="212" spans="1:10" ht="17" x14ac:dyDescent="0.2">
      <c r="A212" s="52">
        <v>43515</v>
      </c>
      <c r="B212" s="53">
        <f t="shared" ref="B212:B216" si="108">YEAR(A212)</f>
        <v>2019</v>
      </c>
      <c r="C212" s="58" t="s">
        <v>166</v>
      </c>
      <c r="D212" s="55" t="s">
        <v>129</v>
      </c>
      <c r="E212" s="86">
        <v>136</v>
      </c>
      <c r="F212" s="57">
        <v>0.17</v>
      </c>
      <c r="G212" s="109">
        <f t="shared" ref="G212" si="109">E212*F212</f>
        <v>23.12</v>
      </c>
      <c r="H212" s="121">
        <f t="shared" ref="H212" si="110">E212+G212</f>
        <v>159.12</v>
      </c>
      <c r="I212" s="42"/>
      <c r="J212" s="26">
        <v>0</v>
      </c>
    </row>
    <row r="213" spans="1:10" ht="17" x14ac:dyDescent="0.2">
      <c r="A213" s="52">
        <v>43801</v>
      </c>
      <c r="B213" s="53">
        <f t="shared" si="108"/>
        <v>2019</v>
      </c>
      <c r="C213" s="100" t="s">
        <v>68</v>
      </c>
      <c r="D213" s="81" t="s">
        <v>148</v>
      </c>
      <c r="E213" s="86">
        <v>-20703</v>
      </c>
      <c r="F213" s="57">
        <v>0.17</v>
      </c>
      <c r="G213" s="109">
        <f t="shared" ref="G213:G214" si="111">E213*F213</f>
        <v>-3519.51</v>
      </c>
      <c r="H213" s="121">
        <f t="shared" ref="H213:H214" si="112">E213+G213</f>
        <v>-24222.510000000002</v>
      </c>
      <c r="I213" s="42"/>
      <c r="J213" s="26">
        <v>0</v>
      </c>
    </row>
    <row r="214" spans="1:10" ht="17" x14ac:dyDescent="0.2">
      <c r="A214" s="52">
        <v>43832</v>
      </c>
      <c r="B214" s="53">
        <f t="shared" si="108"/>
        <v>2020</v>
      </c>
      <c r="C214" s="58" t="s">
        <v>125</v>
      </c>
      <c r="D214" s="55" t="s">
        <v>89</v>
      </c>
      <c r="E214" s="86">
        <v>180</v>
      </c>
      <c r="F214" s="57">
        <v>0.17</v>
      </c>
      <c r="G214" s="109">
        <f t="shared" si="111"/>
        <v>30.6</v>
      </c>
      <c r="H214" s="121">
        <f t="shared" si="112"/>
        <v>210.6</v>
      </c>
      <c r="I214" s="42"/>
      <c r="J214" s="26">
        <v>0</v>
      </c>
    </row>
    <row r="215" spans="1:10" s="16" customFormat="1" ht="34" x14ac:dyDescent="0.2">
      <c r="A215" s="79">
        <v>43832</v>
      </c>
      <c r="B215" s="80">
        <f t="shared" si="108"/>
        <v>2020</v>
      </c>
      <c r="C215" s="87" t="s">
        <v>165</v>
      </c>
      <c r="D215" s="81" t="s">
        <v>84</v>
      </c>
      <c r="E215" s="85">
        <v>282.25</v>
      </c>
      <c r="F215" s="82">
        <v>0.17</v>
      </c>
      <c r="G215" s="111">
        <f t="shared" ref="G215" si="113">E215*F215</f>
        <v>47.982500000000002</v>
      </c>
      <c r="H215" s="123">
        <f t="shared" ref="H215" si="114">E215+G215</f>
        <v>330.23250000000002</v>
      </c>
      <c r="I215" s="44"/>
      <c r="J215" s="26">
        <v>0</v>
      </c>
    </row>
    <row r="216" spans="1:10" ht="17" x14ac:dyDescent="0.2">
      <c r="A216" s="52">
        <v>43998</v>
      </c>
      <c r="B216" s="53">
        <f t="shared" si="108"/>
        <v>2020</v>
      </c>
      <c r="C216" s="70" t="s">
        <v>126</v>
      </c>
      <c r="D216" s="55"/>
      <c r="E216" s="53"/>
      <c r="F216" s="57"/>
      <c r="G216" s="109"/>
      <c r="H216" s="121"/>
      <c r="I216" s="42"/>
      <c r="J216" s="26">
        <v>0</v>
      </c>
    </row>
    <row r="217" spans="1:10" ht="17" x14ac:dyDescent="0.2">
      <c r="A217" s="52">
        <v>44203</v>
      </c>
      <c r="B217" s="53">
        <f t="shared" ref="B217:B219" si="115">YEAR(A217)</f>
        <v>2021</v>
      </c>
      <c r="C217" s="58" t="s">
        <v>147</v>
      </c>
      <c r="D217" s="55" t="s">
        <v>82</v>
      </c>
      <c r="E217" s="88">
        <v>13.12</v>
      </c>
      <c r="F217" s="57">
        <v>0.17</v>
      </c>
      <c r="G217" s="109">
        <f t="shared" ref="G217:G218" si="116">E217*F217</f>
        <v>2.2303999999999999</v>
      </c>
      <c r="H217" s="121">
        <f t="shared" ref="H217:H218" si="117">E217+G217</f>
        <v>15.350399999999999</v>
      </c>
      <c r="I217" s="42"/>
      <c r="J217" s="26">
        <v>0</v>
      </c>
    </row>
    <row r="218" spans="1:10" ht="17" x14ac:dyDescent="0.2">
      <c r="A218" s="63">
        <v>44260</v>
      </c>
      <c r="B218" s="64">
        <f t="shared" si="115"/>
        <v>2021</v>
      </c>
      <c r="C218" s="65" t="s">
        <v>69</v>
      </c>
      <c r="D218" s="66" t="s">
        <v>287</v>
      </c>
      <c r="E218" s="77">
        <v>-265</v>
      </c>
      <c r="F218" s="68">
        <v>0.17</v>
      </c>
      <c r="G218" s="110">
        <f t="shared" si="116"/>
        <v>-45.050000000000004</v>
      </c>
      <c r="H218" s="122">
        <f t="shared" si="117"/>
        <v>-310.05</v>
      </c>
      <c r="I218" s="43"/>
      <c r="J218" s="26">
        <v>0</v>
      </c>
    </row>
    <row r="219" spans="1:10" ht="17" x14ac:dyDescent="0.2">
      <c r="A219" s="63">
        <v>44425</v>
      </c>
      <c r="B219" s="64">
        <f t="shared" si="115"/>
        <v>2021</v>
      </c>
      <c r="C219" s="65" t="s">
        <v>127</v>
      </c>
      <c r="D219" s="66" t="s">
        <v>130</v>
      </c>
      <c r="E219" s="77">
        <v>393</v>
      </c>
      <c r="F219" s="68">
        <v>0.19</v>
      </c>
      <c r="G219" s="110">
        <f t="shared" ref="G219" si="118">E219*F219</f>
        <v>74.67</v>
      </c>
      <c r="H219" s="122">
        <f t="shared" ref="H219" si="119">E219+G219</f>
        <v>467.67</v>
      </c>
      <c r="I219" s="43"/>
      <c r="J219" s="26">
        <v>0</v>
      </c>
    </row>
    <row r="220" spans="1:10" ht="17" x14ac:dyDescent="0.2">
      <c r="A220" s="52">
        <v>44539</v>
      </c>
      <c r="B220" s="53">
        <f t="shared" ref="B220:B223" si="120">YEAR(A220)</f>
        <v>2021</v>
      </c>
      <c r="C220" s="70" t="s">
        <v>70</v>
      </c>
      <c r="D220" s="55"/>
      <c r="E220" s="53"/>
      <c r="F220" s="57"/>
      <c r="G220" s="109"/>
      <c r="H220" s="121"/>
      <c r="I220" s="42"/>
      <c r="J220" s="26">
        <v>0</v>
      </c>
    </row>
    <row r="221" spans="1:10" ht="17" x14ac:dyDescent="0.2">
      <c r="A221" s="52">
        <v>44596</v>
      </c>
      <c r="B221" s="53">
        <f t="shared" si="120"/>
        <v>2022</v>
      </c>
      <c r="C221" s="70" t="s">
        <v>71</v>
      </c>
      <c r="D221" s="55"/>
      <c r="E221" s="61"/>
      <c r="F221" s="82"/>
      <c r="G221" s="111"/>
      <c r="H221" s="123"/>
      <c r="I221" s="42"/>
      <c r="J221" s="26">
        <v>0</v>
      </c>
    </row>
    <row r="222" spans="1:10" ht="17" x14ac:dyDescent="0.2">
      <c r="A222" s="63">
        <v>44596</v>
      </c>
      <c r="B222" s="64">
        <f t="shared" si="120"/>
        <v>2022</v>
      </c>
      <c r="C222" s="65" t="s">
        <v>72</v>
      </c>
      <c r="D222" s="81" t="s">
        <v>276</v>
      </c>
      <c r="E222" s="101">
        <v>240</v>
      </c>
      <c r="F222" s="94">
        <v>0</v>
      </c>
      <c r="G222" s="33">
        <f t="shared" ref="G222:G223" si="121">E222*F222</f>
        <v>0</v>
      </c>
      <c r="H222" s="125">
        <f t="shared" ref="H222:H223" si="122">E222+G222</f>
        <v>240</v>
      </c>
      <c r="I222" s="43"/>
      <c r="J222" s="26">
        <v>0</v>
      </c>
    </row>
    <row r="223" spans="1:10" s="16" customFormat="1" ht="34" x14ac:dyDescent="0.2">
      <c r="A223" s="91">
        <v>44649</v>
      </c>
      <c r="B223" s="164">
        <f t="shared" si="120"/>
        <v>2022</v>
      </c>
      <c r="C223" s="65" t="s">
        <v>74</v>
      </c>
      <c r="D223" s="102" t="s">
        <v>10</v>
      </c>
      <c r="E223" s="83">
        <v>120</v>
      </c>
      <c r="F223" s="94">
        <v>0.19</v>
      </c>
      <c r="G223" s="33">
        <f t="shared" si="121"/>
        <v>22.8</v>
      </c>
      <c r="H223" s="125">
        <f t="shared" si="122"/>
        <v>142.80000000000001</v>
      </c>
      <c r="I223" s="45"/>
      <c r="J223" s="26">
        <v>0</v>
      </c>
    </row>
    <row r="224" spans="1:10" ht="17" x14ac:dyDescent="0.2">
      <c r="A224" s="63">
        <v>44746</v>
      </c>
      <c r="B224" s="64">
        <f t="shared" ref="B224:B226" si="123">YEAR(A224)</f>
        <v>2022</v>
      </c>
      <c r="C224" s="65" t="s">
        <v>73</v>
      </c>
      <c r="D224" s="81" t="s">
        <v>276</v>
      </c>
      <c r="E224" s="103">
        <v>70</v>
      </c>
      <c r="F224" s="94">
        <v>0</v>
      </c>
      <c r="G224" s="33">
        <f t="shared" ref="G224" si="124">E224*F224</f>
        <v>0</v>
      </c>
      <c r="H224" s="125">
        <f t="shared" ref="H224" si="125">E224+G224</f>
        <v>70</v>
      </c>
      <c r="I224" s="43"/>
      <c r="J224" s="26">
        <v>0</v>
      </c>
    </row>
    <row r="225" spans="1:10" ht="17" x14ac:dyDescent="0.2">
      <c r="A225" s="63">
        <v>44825</v>
      </c>
      <c r="B225" s="64">
        <f t="shared" si="123"/>
        <v>2022</v>
      </c>
      <c r="C225" s="65" t="s">
        <v>164</v>
      </c>
      <c r="D225" s="92" t="s">
        <v>288</v>
      </c>
      <c r="E225" s="89"/>
      <c r="F225" s="94">
        <v>0.17</v>
      </c>
      <c r="G225" s="33">
        <f t="shared" ref="G225" si="126">E225*F225</f>
        <v>0</v>
      </c>
      <c r="H225" s="125">
        <f t="shared" ref="H225" si="127">E225+G225</f>
        <v>0</v>
      </c>
      <c r="I225" s="43"/>
      <c r="J225" s="26">
        <v>13.5</v>
      </c>
    </row>
    <row r="226" spans="1:10" ht="17" x14ac:dyDescent="0.2">
      <c r="A226" s="52">
        <v>44835</v>
      </c>
      <c r="B226" s="53">
        <f t="shared" si="123"/>
        <v>2022</v>
      </c>
      <c r="C226" s="58" t="s">
        <v>75</v>
      </c>
      <c r="D226" s="55" t="s">
        <v>326</v>
      </c>
      <c r="E226" s="88">
        <f t="shared" ref="E226" si="128">651.37</f>
        <v>651.37</v>
      </c>
      <c r="F226" s="82">
        <v>0</v>
      </c>
      <c r="G226" s="111">
        <f t="shared" ref="G226" si="129">E226*F226</f>
        <v>0</v>
      </c>
      <c r="H226" s="123">
        <f t="shared" ref="H226" si="130">E226+G226</f>
        <v>651.37</v>
      </c>
      <c r="I226" s="42"/>
      <c r="J226" s="26">
        <v>0</v>
      </c>
    </row>
    <row r="227" spans="1:10" s="16" customFormat="1" ht="34" x14ac:dyDescent="0.2">
      <c r="A227" s="79">
        <v>44959</v>
      </c>
      <c r="B227" s="80">
        <f t="shared" ref="B227:B229" si="131">YEAR(A227)</f>
        <v>2023</v>
      </c>
      <c r="C227" s="105" t="s">
        <v>76</v>
      </c>
      <c r="D227" s="66" t="s">
        <v>297</v>
      </c>
      <c r="E227" s="106">
        <v>767.98</v>
      </c>
      <c r="F227" s="82">
        <v>0.17</v>
      </c>
      <c r="G227" s="111">
        <f t="shared" ref="G227:G229" si="132">E227*F227</f>
        <v>130.5566</v>
      </c>
      <c r="H227" s="123">
        <f t="shared" ref="H227:H229" si="133">E227+G227</f>
        <v>898.53660000000002</v>
      </c>
      <c r="I227" s="44"/>
      <c r="J227" s="26">
        <v>0</v>
      </c>
    </row>
    <row r="228" spans="1:10" ht="17" x14ac:dyDescent="0.2">
      <c r="A228" s="52">
        <v>44959</v>
      </c>
      <c r="B228" s="53">
        <f t="shared" si="131"/>
        <v>2023</v>
      </c>
      <c r="C228" s="87" t="s">
        <v>77</v>
      </c>
      <c r="D228" s="55" t="s">
        <v>275</v>
      </c>
      <c r="E228" s="104">
        <v>97.55</v>
      </c>
      <c r="F228" s="82">
        <v>0</v>
      </c>
      <c r="G228" s="111">
        <f t="shared" si="132"/>
        <v>0</v>
      </c>
      <c r="H228" s="123">
        <f t="shared" si="133"/>
        <v>97.55</v>
      </c>
      <c r="I228" s="42"/>
      <c r="J228" s="26">
        <v>0</v>
      </c>
    </row>
    <row r="229" spans="1:10" ht="17" x14ac:dyDescent="0.2">
      <c r="A229" s="52">
        <v>45076</v>
      </c>
      <c r="B229" s="53">
        <f t="shared" si="131"/>
        <v>2023</v>
      </c>
      <c r="C229" s="70" t="s">
        <v>78</v>
      </c>
      <c r="D229" s="55" t="s">
        <v>326</v>
      </c>
      <c r="E229" s="104">
        <f>-347.44*5</f>
        <v>-1737.2</v>
      </c>
      <c r="F229" s="82">
        <v>0</v>
      </c>
      <c r="G229" s="111">
        <f t="shared" si="132"/>
        <v>0</v>
      </c>
      <c r="H229" s="123">
        <f t="shared" si="133"/>
        <v>-1737.2</v>
      </c>
      <c r="I229" s="42"/>
      <c r="J229" s="26">
        <v>0</v>
      </c>
    </row>
    <row r="230" spans="1:10" ht="17" x14ac:dyDescent="0.2">
      <c r="A230" s="52">
        <v>45090</v>
      </c>
      <c r="B230" s="53">
        <f t="shared" ref="B230:B232" si="134">YEAR(A230)</f>
        <v>2023</v>
      </c>
      <c r="C230" s="58" t="s">
        <v>79</v>
      </c>
      <c r="D230" s="55" t="s">
        <v>9</v>
      </c>
      <c r="E230" s="78">
        <v>65</v>
      </c>
      <c r="F230" s="82">
        <v>0.16</v>
      </c>
      <c r="G230" s="111">
        <f t="shared" ref="G230:G231" si="135">E230*F230</f>
        <v>10.4</v>
      </c>
      <c r="H230" s="123">
        <f t="shared" ref="H230:H231" si="136">E230+G230</f>
        <v>75.400000000000006</v>
      </c>
      <c r="I230" s="42"/>
      <c r="J230" s="26">
        <v>0</v>
      </c>
    </row>
    <row r="231" spans="1:10" s="16" customFormat="1" ht="34" x14ac:dyDescent="0.2">
      <c r="A231" s="91">
        <v>45090</v>
      </c>
      <c r="B231" s="164">
        <f t="shared" si="134"/>
        <v>2023</v>
      </c>
      <c r="C231" s="90" t="s">
        <v>80</v>
      </c>
      <c r="D231" s="92" t="s">
        <v>9</v>
      </c>
      <c r="E231" s="83">
        <v>220</v>
      </c>
      <c r="F231" s="94">
        <v>0.16</v>
      </c>
      <c r="G231" s="33">
        <f t="shared" si="135"/>
        <v>35.200000000000003</v>
      </c>
      <c r="H231" s="125">
        <f t="shared" si="136"/>
        <v>255.2</v>
      </c>
      <c r="I231" s="45"/>
      <c r="J231" s="26">
        <v>0</v>
      </c>
    </row>
    <row r="232" spans="1:10" ht="17" x14ac:dyDescent="0.2">
      <c r="A232" s="52">
        <v>45086</v>
      </c>
      <c r="B232" s="53">
        <f t="shared" si="134"/>
        <v>2023</v>
      </c>
      <c r="C232" s="87" t="s">
        <v>128</v>
      </c>
      <c r="D232" s="81" t="s">
        <v>276</v>
      </c>
      <c r="E232" s="104">
        <f>49</f>
        <v>49</v>
      </c>
      <c r="F232" s="82">
        <v>0</v>
      </c>
      <c r="G232" s="111">
        <f t="shared" ref="G232" si="137">E232*F232</f>
        <v>0</v>
      </c>
      <c r="H232" s="123">
        <f t="shared" ref="H232" si="138">E232+G232</f>
        <v>49</v>
      </c>
      <c r="I232" s="42"/>
      <c r="J232" s="26">
        <v>0</v>
      </c>
    </row>
    <row r="233" spans="1:10" ht="17" x14ac:dyDescent="0.2">
      <c r="A233" s="52">
        <v>45393</v>
      </c>
      <c r="B233" s="53">
        <f t="shared" ref="B233" si="139">YEAR(A233)</f>
        <v>2024</v>
      </c>
      <c r="C233" s="58" t="s">
        <v>163</v>
      </c>
      <c r="D233" s="81" t="s">
        <v>295</v>
      </c>
      <c r="E233" s="88">
        <v>721</v>
      </c>
      <c r="F233" s="57">
        <v>0.17</v>
      </c>
      <c r="G233" s="109">
        <f t="shared" ref="G233" si="140">E233*F233</f>
        <v>122.57000000000001</v>
      </c>
      <c r="H233" s="121">
        <f t="shared" ref="H233" si="141">E233+G233</f>
        <v>843.57</v>
      </c>
      <c r="I233" s="42"/>
      <c r="J233" s="144">
        <v>0</v>
      </c>
    </row>
    <row r="234" spans="1:10" ht="17" x14ac:dyDescent="0.2">
      <c r="A234" s="52">
        <v>45393</v>
      </c>
      <c r="B234" s="53">
        <f t="shared" ref="B234:B236" si="142">YEAR(A234)</f>
        <v>2024</v>
      </c>
      <c r="C234" s="58" t="s">
        <v>123</v>
      </c>
      <c r="D234" s="55" t="s">
        <v>130</v>
      </c>
      <c r="E234" s="137">
        <v>309.55</v>
      </c>
      <c r="F234" s="57">
        <v>0.17</v>
      </c>
      <c r="G234" s="138">
        <f t="shared" ref="G234" si="143">E234*F234</f>
        <v>52.623500000000007</v>
      </c>
      <c r="H234" s="139">
        <f t="shared" ref="H234" si="144">E234+G234</f>
        <v>362.17349999999999</v>
      </c>
      <c r="I234" s="42"/>
      <c r="J234" s="26">
        <v>0</v>
      </c>
    </row>
    <row r="235" spans="1:10" ht="17" x14ac:dyDescent="0.2">
      <c r="A235" s="52">
        <v>45411</v>
      </c>
      <c r="B235" s="53">
        <f t="shared" si="142"/>
        <v>2024</v>
      </c>
      <c r="C235" s="87" t="s">
        <v>128</v>
      </c>
      <c r="D235" s="81" t="s">
        <v>276</v>
      </c>
      <c r="E235" s="104">
        <v>56</v>
      </c>
      <c r="F235" s="82">
        <v>0</v>
      </c>
      <c r="G235" s="111">
        <f t="shared" ref="G235" si="145">E235*F235</f>
        <v>0</v>
      </c>
      <c r="H235" s="123">
        <f t="shared" ref="H235" si="146">E235+G235</f>
        <v>56</v>
      </c>
      <c r="I235" s="42"/>
      <c r="J235" s="26">
        <v>0</v>
      </c>
    </row>
    <row r="236" spans="1:10" ht="17" x14ac:dyDescent="0.2">
      <c r="A236" s="63">
        <v>45614</v>
      </c>
      <c r="B236" s="64">
        <f t="shared" si="142"/>
        <v>2024</v>
      </c>
      <c r="C236" s="65" t="s">
        <v>152</v>
      </c>
      <c r="D236" s="66" t="s">
        <v>129</v>
      </c>
      <c r="E236" s="89">
        <v>128.75</v>
      </c>
      <c r="F236" s="68">
        <v>0.17</v>
      </c>
      <c r="G236" s="110">
        <f t="shared" ref="G236" si="147">E236*F236</f>
        <v>21.887500000000003</v>
      </c>
      <c r="H236" s="125">
        <f t="shared" ref="H236" si="148">E236+G236</f>
        <v>150.63749999999999</v>
      </c>
      <c r="I236" s="43"/>
      <c r="J236" s="26">
        <v>1.5</v>
      </c>
    </row>
    <row r="237" spans="1:10" x14ac:dyDescent="0.2">
      <c r="A237" s="52">
        <v>45638</v>
      </c>
      <c r="B237" s="53">
        <f t="shared" ref="B237:B240" si="149">YEAR(A237)</f>
        <v>2024</v>
      </c>
      <c r="C237" s="127" t="s">
        <v>160</v>
      </c>
      <c r="D237" s="55" t="s">
        <v>85</v>
      </c>
      <c r="E237" s="75">
        <v>128.75</v>
      </c>
      <c r="F237" s="82">
        <v>0.17</v>
      </c>
      <c r="G237" s="109">
        <f t="shared" ref="G237" si="150">E237*F237</f>
        <v>21.887500000000003</v>
      </c>
      <c r="H237" s="123">
        <f t="shared" ref="H237" si="151">E237+G237</f>
        <v>150.63749999999999</v>
      </c>
      <c r="I237" s="42"/>
      <c r="J237" s="26">
        <v>0</v>
      </c>
    </row>
    <row r="238" spans="1:10" x14ac:dyDescent="0.2">
      <c r="A238" s="52">
        <v>45638</v>
      </c>
      <c r="B238" s="53">
        <f t="shared" si="149"/>
        <v>2024</v>
      </c>
      <c r="C238" s="126" t="s">
        <v>161</v>
      </c>
      <c r="D238" s="55" t="s">
        <v>129</v>
      </c>
      <c r="E238" s="75">
        <v>103</v>
      </c>
      <c r="F238" s="82">
        <v>0.17</v>
      </c>
      <c r="G238" s="109">
        <f t="shared" ref="G238" si="152">E238*F238</f>
        <v>17.510000000000002</v>
      </c>
      <c r="H238" s="123">
        <f t="shared" ref="H238" si="153">E238+G238</f>
        <v>120.51</v>
      </c>
      <c r="I238" s="42"/>
      <c r="J238" s="144">
        <v>0</v>
      </c>
    </row>
    <row r="239" spans="1:10" x14ac:dyDescent="0.2">
      <c r="A239" s="52">
        <v>45638</v>
      </c>
      <c r="B239" s="53">
        <f t="shared" si="149"/>
        <v>2024</v>
      </c>
      <c r="C239" s="126" t="s">
        <v>162</v>
      </c>
      <c r="D239" s="92" t="s">
        <v>288</v>
      </c>
      <c r="E239" s="75"/>
      <c r="F239" s="82">
        <v>0.17</v>
      </c>
      <c r="G239" s="109">
        <f t="shared" ref="G239" si="154">E239*F239</f>
        <v>0</v>
      </c>
      <c r="H239" s="123">
        <f t="shared" ref="H239" si="155">E239+G239</f>
        <v>0</v>
      </c>
      <c r="I239" s="42"/>
      <c r="J239" s="144">
        <v>1</v>
      </c>
    </row>
    <row r="240" spans="1:10" ht="34" x14ac:dyDescent="0.2">
      <c r="A240" s="79">
        <v>45662</v>
      </c>
      <c r="B240" s="80">
        <f t="shared" si="149"/>
        <v>2025</v>
      </c>
      <c r="C240" s="140" t="s">
        <v>153</v>
      </c>
      <c r="D240" s="55" t="s">
        <v>326</v>
      </c>
      <c r="E240" s="136">
        <f>729.24/2*3</f>
        <v>1093.8600000000001</v>
      </c>
      <c r="F240" s="82">
        <v>0</v>
      </c>
      <c r="G240" s="134">
        <f t="shared" ref="G240" si="156">E240*F240</f>
        <v>0</v>
      </c>
      <c r="H240" s="135">
        <f t="shared" ref="H240" si="157">E240+G240</f>
        <v>1093.8600000000001</v>
      </c>
      <c r="I240" s="42"/>
      <c r="J240" s="26">
        <v>0</v>
      </c>
    </row>
    <row r="241" spans="1:10" ht="17" x14ac:dyDescent="0.2">
      <c r="A241" s="52">
        <v>45804</v>
      </c>
      <c r="B241" s="53">
        <f t="shared" ref="B241:B243" si="158">YEAR(A241)</f>
        <v>2025</v>
      </c>
      <c r="C241" s="70" t="s">
        <v>154</v>
      </c>
      <c r="D241" s="55"/>
      <c r="E241" s="137"/>
      <c r="F241" s="57"/>
      <c r="G241" s="138"/>
      <c r="H241" s="139"/>
      <c r="I241" s="42"/>
      <c r="J241" s="26">
        <v>0</v>
      </c>
    </row>
    <row r="242" spans="1:10" x14ac:dyDescent="0.2">
      <c r="A242" s="52">
        <v>45804</v>
      </c>
      <c r="B242" s="53">
        <f t="shared" si="158"/>
        <v>2025</v>
      </c>
      <c r="C242" s="126" t="s">
        <v>122</v>
      </c>
      <c r="D242" s="55"/>
      <c r="E242" s="53"/>
      <c r="F242" s="57">
        <v>0</v>
      </c>
      <c r="H242" s="123">
        <f t="shared" ref="H242" si="159">E242+G242</f>
        <v>0</v>
      </c>
      <c r="I242" s="42"/>
      <c r="J242" s="26">
        <v>0</v>
      </c>
    </row>
    <row r="243" spans="1:10" x14ac:dyDescent="0.2">
      <c r="A243" s="52">
        <v>45804</v>
      </c>
      <c r="B243" s="53">
        <f t="shared" si="158"/>
        <v>2025</v>
      </c>
      <c r="C243" s="127" t="s">
        <v>241</v>
      </c>
      <c r="D243" s="55" t="s">
        <v>292</v>
      </c>
      <c r="E243" s="75">
        <v>126.16</v>
      </c>
      <c r="F243" s="82">
        <v>0.17</v>
      </c>
      <c r="G243" s="138">
        <f t="shared" ref="G243" si="160">E243*F243</f>
        <v>21.447200000000002</v>
      </c>
      <c r="H243" s="135">
        <f t="shared" ref="H243" si="161">E243+G243</f>
        <v>147.60720000000001</v>
      </c>
      <c r="I243" s="42"/>
      <c r="J243" s="145"/>
    </row>
    <row r="244" spans="1:10" x14ac:dyDescent="0.2">
      <c r="A244" s="52">
        <v>45892</v>
      </c>
      <c r="B244" s="53">
        <f t="shared" ref="B244:B246" si="162">YEAR(A244)</f>
        <v>2025</v>
      </c>
      <c r="C244" s="46" t="s">
        <v>242</v>
      </c>
      <c r="D244" s="81" t="s">
        <v>276</v>
      </c>
      <c r="E244" s="75">
        <v>0</v>
      </c>
      <c r="F244" s="82">
        <v>0</v>
      </c>
      <c r="G244" s="111">
        <f t="shared" ref="G244" si="163">E244*F244</f>
        <v>0</v>
      </c>
      <c r="H244" s="123">
        <f t="shared" ref="H244" si="164">E244+G244</f>
        <v>0</v>
      </c>
      <c r="I244" s="42"/>
      <c r="J244" s="26">
        <v>0</v>
      </c>
    </row>
    <row r="245" spans="1:10" x14ac:dyDescent="0.2">
      <c r="A245" s="52">
        <v>45959</v>
      </c>
      <c r="B245" s="53">
        <f t="shared" si="162"/>
        <v>2025</v>
      </c>
      <c r="C245" s="126" t="s">
        <v>243</v>
      </c>
      <c r="D245" s="55" t="s">
        <v>82</v>
      </c>
      <c r="E245" s="75">
        <v>131.27000000000001</v>
      </c>
      <c r="F245" s="82">
        <v>0.17</v>
      </c>
      <c r="G245" s="109">
        <f t="shared" ref="G245" si="165">E245*F245</f>
        <v>22.315900000000003</v>
      </c>
      <c r="H245" s="123">
        <f t="shared" ref="H245:H286" si="166">E245+G245</f>
        <v>153.58590000000001</v>
      </c>
      <c r="I245" s="42"/>
      <c r="J245" s="163"/>
    </row>
    <row r="246" spans="1:10" x14ac:dyDescent="0.2">
      <c r="A246" s="52">
        <v>46024</v>
      </c>
      <c r="B246" s="53">
        <f t="shared" si="162"/>
        <v>2026</v>
      </c>
      <c r="C246" s="46" t="s">
        <v>244</v>
      </c>
      <c r="D246" s="55" t="s">
        <v>326</v>
      </c>
      <c r="E246" s="75">
        <v>747.4</v>
      </c>
      <c r="F246" s="53"/>
      <c r="H246" s="123">
        <f t="shared" si="166"/>
        <v>747.4</v>
      </c>
      <c r="I246" s="42"/>
      <c r="J246" s="26">
        <v>0</v>
      </c>
    </row>
    <row r="247" spans="1:10" x14ac:dyDescent="0.2">
      <c r="A247" s="53"/>
      <c r="B247" s="53"/>
      <c r="C247" s="46"/>
      <c r="D247" s="55"/>
      <c r="E247" s="75"/>
      <c r="F247" s="53"/>
      <c r="H247" s="123">
        <f t="shared" si="166"/>
        <v>0</v>
      </c>
      <c r="I247" s="42"/>
      <c r="J247" s="26">
        <v>0</v>
      </c>
    </row>
    <row r="248" spans="1:10" x14ac:dyDescent="0.2">
      <c r="A248" s="53"/>
      <c r="B248" s="53"/>
      <c r="C248" s="46"/>
      <c r="D248" s="55"/>
      <c r="E248" s="75"/>
      <c r="F248" s="53"/>
      <c r="H248" s="123">
        <f t="shared" si="166"/>
        <v>0</v>
      </c>
      <c r="I248" s="42"/>
      <c r="J248" s="26">
        <v>0</v>
      </c>
    </row>
    <row r="249" spans="1:10" x14ac:dyDescent="0.2">
      <c r="A249" s="53"/>
      <c r="B249" s="53"/>
      <c r="C249" s="46"/>
      <c r="D249" s="55"/>
      <c r="E249" s="75"/>
      <c r="F249" s="53"/>
      <c r="H249" s="123">
        <f t="shared" si="166"/>
        <v>0</v>
      </c>
      <c r="I249" s="42"/>
      <c r="J249" s="26">
        <v>0</v>
      </c>
    </row>
    <row r="250" spans="1:10" x14ac:dyDescent="0.2">
      <c r="A250" s="53"/>
      <c r="B250" s="53"/>
      <c r="C250" s="46"/>
      <c r="D250" s="55"/>
      <c r="E250" s="75"/>
      <c r="F250" s="53"/>
      <c r="H250" s="123">
        <f t="shared" si="166"/>
        <v>0</v>
      </c>
      <c r="I250" s="42"/>
      <c r="J250" s="26">
        <v>0</v>
      </c>
    </row>
    <row r="251" spans="1:10" x14ac:dyDescent="0.2">
      <c r="A251" s="53"/>
      <c r="B251" s="53"/>
      <c r="C251" s="46"/>
      <c r="D251" s="55"/>
      <c r="E251" s="75"/>
      <c r="F251" s="53"/>
      <c r="H251" s="123">
        <f t="shared" si="166"/>
        <v>0</v>
      </c>
      <c r="I251" s="42"/>
      <c r="J251" s="26">
        <v>0</v>
      </c>
    </row>
    <row r="252" spans="1:10" x14ac:dyDescent="0.2">
      <c r="A252" s="53"/>
      <c r="B252" s="53"/>
      <c r="C252" s="46"/>
      <c r="D252" s="55"/>
      <c r="E252" s="75"/>
      <c r="F252" s="53"/>
      <c r="H252" s="123">
        <f t="shared" si="166"/>
        <v>0</v>
      </c>
      <c r="I252" s="42"/>
      <c r="J252" s="26">
        <v>0</v>
      </c>
    </row>
    <row r="253" spans="1:10" x14ac:dyDescent="0.2">
      <c r="A253" s="53"/>
      <c r="B253" s="53"/>
      <c r="C253" s="46"/>
      <c r="D253" s="55"/>
      <c r="E253" s="75"/>
      <c r="F253" s="53"/>
      <c r="H253" s="123">
        <f t="shared" si="166"/>
        <v>0</v>
      </c>
      <c r="I253" s="42"/>
      <c r="J253" s="26">
        <v>0</v>
      </c>
    </row>
    <row r="254" spans="1:10" x14ac:dyDescent="0.2">
      <c r="A254" s="53"/>
      <c r="B254" s="53"/>
      <c r="C254" s="46"/>
      <c r="D254" s="55"/>
      <c r="E254" s="75"/>
      <c r="F254" s="53"/>
      <c r="H254" s="123">
        <f t="shared" si="166"/>
        <v>0</v>
      </c>
      <c r="I254" s="42"/>
      <c r="J254" s="26">
        <v>0</v>
      </c>
    </row>
    <row r="255" spans="1:10" x14ac:dyDescent="0.2">
      <c r="A255" s="53"/>
      <c r="B255" s="53"/>
      <c r="C255" s="46"/>
      <c r="D255" s="55"/>
      <c r="E255" s="75"/>
      <c r="F255" s="53"/>
      <c r="H255" s="123">
        <f t="shared" si="166"/>
        <v>0</v>
      </c>
      <c r="I255" s="42"/>
      <c r="J255" s="26">
        <v>0</v>
      </c>
    </row>
    <row r="256" spans="1:10" x14ac:dyDescent="0.2">
      <c r="A256" s="53"/>
      <c r="B256" s="53"/>
      <c r="C256" s="46"/>
      <c r="D256" s="55"/>
      <c r="E256" s="75"/>
      <c r="F256" s="53"/>
      <c r="H256" s="123">
        <f t="shared" si="166"/>
        <v>0</v>
      </c>
      <c r="I256" s="42"/>
      <c r="J256" s="26">
        <v>0</v>
      </c>
    </row>
    <row r="257" spans="1:10" x14ac:dyDescent="0.2">
      <c r="A257" s="53"/>
      <c r="B257" s="53"/>
      <c r="C257" s="46"/>
      <c r="D257" s="55"/>
      <c r="E257" s="75"/>
      <c r="F257" s="53"/>
      <c r="H257" s="123">
        <f t="shared" si="166"/>
        <v>0</v>
      </c>
      <c r="I257" s="42"/>
      <c r="J257" s="26">
        <v>0</v>
      </c>
    </row>
    <row r="258" spans="1:10" x14ac:dyDescent="0.2">
      <c r="A258" s="53"/>
      <c r="B258" s="53"/>
      <c r="C258" s="46"/>
      <c r="D258" s="55"/>
      <c r="E258" s="75"/>
      <c r="F258" s="53"/>
      <c r="H258" s="123">
        <f t="shared" si="166"/>
        <v>0</v>
      </c>
      <c r="I258" s="42"/>
      <c r="J258" s="26">
        <v>0</v>
      </c>
    </row>
    <row r="259" spans="1:10" x14ac:dyDescent="0.2">
      <c r="A259" s="53"/>
      <c r="B259" s="53"/>
      <c r="C259" s="46"/>
      <c r="D259" s="55"/>
      <c r="E259" s="75"/>
      <c r="F259" s="53"/>
      <c r="H259" s="123">
        <f t="shared" si="166"/>
        <v>0</v>
      </c>
      <c r="I259" s="42"/>
      <c r="J259" s="26">
        <v>0</v>
      </c>
    </row>
    <row r="260" spans="1:10" x14ac:dyDescent="0.2">
      <c r="A260" s="53"/>
      <c r="B260" s="53"/>
      <c r="C260" s="46"/>
      <c r="D260" s="55"/>
      <c r="E260" s="75"/>
      <c r="F260" s="53"/>
      <c r="H260" s="123">
        <f t="shared" si="166"/>
        <v>0</v>
      </c>
      <c r="I260" s="42"/>
      <c r="J260" s="26">
        <v>0</v>
      </c>
    </row>
    <row r="261" spans="1:10" x14ac:dyDescent="0.2">
      <c r="A261" s="53"/>
      <c r="B261" s="53"/>
      <c r="C261" s="46"/>
      <c r="D261" s="55"/>
      <c r="E261" s="53"/>
      <c r="F261" s="53"/>
      <c r="H261" s="123">
        <f t="shared" si="166"/>
        <v>0</v>
      </c>
      <c r="I261" s="42"/>
      <c r="J261" s="26">
        <v>0</v>
      </c>
    </row>
    <row r="262" spans="1:10" x14ac:dyDescent="0.2">
      <c r="A262" s="53"/>
      <c r="B262" s="53"/>
      <c r="C262" s="46"/>
      <c r="D262" s="55"/>
      <c r="E262" s="53"/>
      <c r="F262" s="53"/>
      <c r="H262" s="123">
        <f t="shared" si="166"/>
        <v>0</v>
      </c>
      <c r="I262" s="42"/>
      <c r="J262" s="26">
        <v>0</v>
      </c>
    </row>
    <row r="263" spans="1:10" x14ac:dyDescent="0.2">
      <c r="A263" s="53"/>
      <c r="B263" s="53"/>
      <c r="C263" s="46"/>
      <c r="D263" s="55"/>
      <c r="E263" s="53"/>
      <c r="F263" s="53"/>
      <c r="H263" s="123">
        <f t="shared" si="166"/>
        <v>0</v>
      </c>
      <c r="I263" s="42"/>
      <c r="J263" s="26">
        <v>0</v>
      </c>
    </row>
    <row r="264" spans="1:10" x14ac:dyDescent="0.2">
      <c r="A264" s="53"/>
      <c r="B264" s="53"/>
      <c r="C264" s="46"/>
      <c r="D264" s="55"/>
      <c r="E264" s="53"/>
      <c r="F264" s="53"/>
      <c r="H264" s="123">
        <f t="shared" si="166"/>
        <v>0</v>
      </c>
      <c r="I264" s="42"/>
      <c r="J264" s="26">
        <v>0</v>
      </c>
    </row>
    <row r="265" spans="1:10" x14ac:dyDescent="0.2">
      <c r="A265" s="53"/>
      <c r="B265" s="53"/>
      <c r="C265" s="46"/>
      <c r="D265" s="55"/>
      <c r="E265" s="53"/>
      <c r="F265" s="53"/>
      <c r="H265" s="123">
        <f t="shared" si="166"/>
        <v>0</v>
      </c>
      <c r="I265" s="42"/>
      <c r="J265" s="26">
        <v>0</v>
      </c>
    </row>
    <row r="266" spans="1:10" x14ac:dyDescent="0.2">
      <c r="A266" s="53"/>
      <c r="B266" s="53"/>
      <c r="C266" s="46"/>
      <c r="D266" s="55"/>
      <c r="E266" s="53"/>
      <c r="F266" s="53"/>
      <c r="H266" s="123">
        <f t="shared" si="166"/>
        <v>0</v>
      </c>
      <c r="I266" s="42"/>
      <c r="J266" s="26">
        <v>0</v>
      </c>
    </row>
    <row r="267" spans="1:10" x14ac:dyDescent="0.2">
      <c r="A267" s="53"/>
      <c r="B267" s="53"/>
      <c r="C267" s="46"/>
      <c r="D267" s="55"/>
      <c r="E267" s="53"/>
      <c r="F267" s="53"/>
      <c r="H267" s="123">
        <f t="shared" si="166"/>
        <v>0</v>
      </c>
      <c r="I267" s="42"/>
      <c r="J267" s="26">
        <v>0</v>
      </c>
    </row>
    <row r="268" spans="1:10" x14ac:dyDescent="0.2">
      <c r="A268" s="53"/>
      <c r="B268" s="53"/>
      <c r="C268" s="46"/>
      <c r="D268" s="55"/>
      <c r="E268" s="53"/>
      <c r="F268" s="53"/>
      <c r="H268" s="123">
        <f t="shared" si="166"/>
        <v>0</v>
      </c>
      <c r="I268" s="42"/>
      <c r="J268" s="26">
        <v>0</v>
      </c>
    </row>
    <row r="269" spans="1:10" x14ac:dyDescent="0.2">
      <c r="A269" s="53"/>
      <c r="B269" s="53"/>
      <c r="C269" s="46"/>
      <c r="D269" s="55"/>
      <c r="E269" s="53"/>
      <c r="F269" s="53"/>
      <c r="H269" s="123">
        <f t="shared" si="166"/>
        <v>0</v>
      </c>
      <c r="I269" s="42"/>
      <c r="J269" s="26">
        <v>0</v>
      </c>
    </row>
    <row r="270" spans="1:10" x14ac:dyDescent="0.2">
      <c r="A270" s="53"/>
      <c r="B270" s="53"/>
      <c r="C270" s="46"/>
      <c r="D270" s="55"/>
      <c r="E270" s="53"/>
      <c r="F270" s="53"/>
      <c r="H270" s="123">
        <f t="shared" si="166"/>
        <v>0</v>
      </c>
      <c r="I270" s="42"/>
      <c r="J270" s="26">
        <v>0</v>
      </c>
    </row>
    <row r="271" spans="1:10" x14ac:dyDescent="0.2">
      <c r="A271" s="53"/>
      <c r="B271" s="53"/>
      <c r="C271" s="46"/>
      <c r="D271" s="55"/>
      <c r="E271" s="53"/>
      <c r="F271" s="53"/>
      <c r="H271" s="123">
        <f t="shared" si="166"/>
        <v>0</v>
      </c>
      <c r="I271" s="42"/>
      <c r="J271" s="26">
        <v>0</v>
      </c>
    </row>
    <row r="272" spans="1:10" x14ac:dyDescent="0.2">
      <c r="A272" s="53"/>
      <c r="B272" s="53"/>
      <c r="C272" s="46"/>
      <c r="D272" s="55"/>
      <c r="E272" s="53"/>
      <c r="F272" s="53"/>
      <c r="H272" s="123">
        <f t="shared" si="166"/>
        <v>0</v>
      </c>
      <c r="I272" s="42"/>
      <c r="J272" s="26">
        <v>0</v>
      </c>
    </row>
    <row r="273" spans="1:10" x14ac:dyDescent="0.2">
      <c r="A273" s="53"/>
      <c r="B273" s="53"/>
      <c r="C273" s="46"/>
      <c r="D273" s="55"/>
      <c r="E273" s="53"/>
      <c r="F273" s="53"/>
      <c r="H273" s="123">
        <f t="shared" si="166"/>
        <v>0</v>
      </c>
      <c r="I273" s="42"/>
      <c r="J273" s="26">
        <v>0</v>
      </c>
    </row>
    <row r="274" spans="1:10" x14ac:dyDescent="0.2">
      <c r="A274" s="53"/>
      <c r="B274" s="53"/>
      <c r="C274" s="46"/>
      <c r="D274" s="55"/>
      <c r="E274" s="53"/>
      <c r="F274" s="53"/>
      <c r="H274" s="123">
        <f t="shared" si="166"/>
        <v>0</v>
      </c>
      <c r="I274" s="42"/>
      <c r="J274" s="26">
        <v>0</v>
      </c>
    </row>
    <row r="275" spans="1:10" x14ac:dyDescent="0.2">
      <c r="A275" s="53"/>
      <c r="B275" s="53"/>
      <c r="C275" s="46"/>
      <c r="D275" s="55"/>
      <c r="E275" s="53"/>
      <c r="F275" s="53"/>
      <c r="H275" s="123">
        <f t="shared" si="166"/>
        <v>0</v>
      </c>
      <c r="I275" s="42"/>
      <c r="J275" s="26">
        <v>0</v>
      </c>
    </row>
    <row r="276" spans="1:10" x14ac:dyDescent="0.2">
      <c r="A276" s="53"/>
      <c r="B276" s="53"/>
      <c r="C276" s="46"/>
      <c r="D276" s="55"/>
      <c r="E276" s="53"/>
      <c r="F276" s="53"/>
      <c r="H276" s="123">
        <f t="shared" si="166"/>
        <v>0</v>
      </c>
      <c r="I276" s="42"/>
      <c r="J276" s="26">
        <v>0</v>
      </c>
    </row>
    <row r="277" spans="1:10" x14ac:dyDescent="0.2">
      <c r="A277" s="53"/>
      <c r="B277" s="53"/>
      <c r="C277" s="46"/>
      <c r="D277" s="55"/>
      <c r="E277" s="53"/>
      <c r="F277" s="53"/>
      <c r="H277" s="123">
        <f t="shared" si="166"/>
        <v>0</v>
      </c>
      <c r="I277" s="42"/>
      <c r="J277" s="26">
        <v>0</v>
      </c>
    </row>
    <row r="278" spans="1:10" x14ac:dyDescent="0.2">
      <c r="A278" s="53"/>
      <c r="B278" s="53"/>
      <c r="C278" s="46"/>
      <c r="D278" s="55"/>
      <c r="E278" s="53"/>
      <c r="F278" s="53"/>
      <c r="H278" s="123">
        <f t="shared" si="166"/>
        <v>0</v>
      </c>
      <c r="I278" s="42"/>
      <c r="J278" s="26">
        <v>0</v>
      </c>
    </row>
    <row r="279" spans="1:10" x14ac:dyDescent="0.2">
      <c r="A279" s="53"/>
      <c r="B279" s="53"/>
      <c r="C279" s="46"/>
      <c r="D279" s="55"/>
      <c r="E279" s="53"/>
      <c r="F279" s="53"/>
      <c r="H279" s="123">
        <f t="shared" si="166"/>
        <v>0</v>
      </c>
      <c r="I279" s="42"/>
      <c r="J279" s="26">
        <v>0</v>
      </c>
    </row>
    <row r="280" spans="1:10" x14ac:dyDescent="0.2">
      <c r="A280" s="53"/>
      <c r="B280" s="53"/>
      <c r="C280" s="46"/>
      <c r="D280" s="55"/>
      <c r="E280" s="53"/>
      <c r="F280" s="53"/>
      <c r="H280" s="123">
        <f t="shared" si="166"/>
        <v>0</v>
      </c>
      <c r="I280" s="42"/>
      <c r="J280" s="26">
        <v>0</v>
      </c>
    </row>
    <row r="281" spans="1:10" x14ac:dyDescent="0.2">
      <c r="A281" s="53"/>
      <c r="B281" s="53"/>
      <c r="C281" s="46"/>
      <c r="D281" s="55"/>
      <c r="E281" s="53"/>
      <c r="F281" s="53"/>
      <c r="H281" s="123">
        <f t="shared" si="166"/>
        <v>0</v>
      </c>
      <c r="I281" s="42"/>
      <c r="J281" s="26">
        <v>0</v>
      </c>
    </row>
    <row r="282" spans="1:10" x14ac:dyDescent="0.2">
      <c r="A282" s="53"/>
      <c r="B282" s="53"/>
      <c r="C282" s="46"/>
      <c r="D282" s="55"/>
      <c r="E282" s="53"/>
      <c r="F282" s="53"/>
      <c r="H282" s="123">
        <f t="shared" si="166"/>
        <v>0</v>
      </c>
      <c r="I282" s="42"/>
      <c r="J282" s="26">
        <v>0</v>
      </c>
    </row>
    <row r="283" spans="1:10" x14ac:dyDescent="0.2">
      <c r="A283" s="53"/>
      <c r="B283" s="53"/>
      <c r="C283" s="46"/>
      <c r="D283" s="55"/>
      <c r="E283" s="53"/>
      <c r="F283" s="53"/>
      <c r="H283" s="123">
        <f t="shared" si="166"/>
        <v>0</v>
      </c>
      <c r="I283" s="42"/>
      <c r="J283" s="26">
        <v>0</v>
      </c>
    </row>
    <row r="284" spans="1:10" x14ac:dyDescent="0.2">
      <c r="A284" s="53"/>
      <c r="B284" s="53"/>
      <c r="C284" s="46"/>
      <c r="D284" s="55"/>
      <c r="E284" s="53"/>
      <c r="F284" s="53"/>
      <c r="H284" s="123">
        <f t="shared" si="166"/>
        <v>0</v>
      </c>
      <c r="I284" s="42"/>
      <c r="J284" s="26">
        <v>0</v>
      </c>
    </row>
    <row r="285" spans="1:10" x14ac:dyDescent="0.2">
      <c r="A285" s="53"/>
      <c r="B285" s="53"/>
      <c r="C285" s="46"/>
      <c r="D285" s="55"/>
      <c r="E285" s="53"/>
      <c r="F285" s="53"/>
      <c r="H285" s="123">
        <f t="shared" si="166"/>
        <v>0</v>
      </c>
      <c r="I285" s="42"/>
      <c r="J285" s="26">
        <v>0</v>
      </c>
    </row>
    <row r="286" spans="1:10" x14ac:dyDescent="0.2">
      <c r="A286" s="53"/>
      <c r="B286" s="53"/>
      <c r="C286" s="46"/>
      <c r="D286" s="55"/>
      <c r="E286" s="53"/>
      <c r="F286" s="53"/>
      <c r="H286" s="123">
        <f t="shared" si="166"/>
        <v>0</v>
      </c>
      <c r="I286" s="42"/>
      <c r="J286" s="26">
        <v>0</v>
      </c>
    </row>
    <row r="287" spans="1:10" x14ac:dyDescent="0.2">
      <c r="A287" s="53"/>
      <c r="B287" s="53"/>
      <c r="C287" s="46"/>
      <c r="D287" s="55"/>
      <c r="E287" s="53"/>
      <c r="F287" s="53"/>
      <c r="H287" s="123">
        <f t="shared" ref="H287:H350" si="167">E287+G287</f>
        <v>0</v>
      </c>
      <c r="I287" s="42"/>
      <c r="J287" s="26">
        <v>0</v>
      </c>
    </row>
    <row r="288" spans="1:10" x14ac:dyDescent="0.2">
      <c r="A288" s="53"/>
      <c r="B288" s="53"/>
      <c r="C288" s="46"/>
      <c r="D288" s="55"/>
      <c r="E288" s="53"/>
      <c r="F288" s="53"/>
      <c r="H288" s="123">
        <f t="shared" si="167"/>
        <v>0</v>
      </c>
      <c r="I288" s="42"/>
      <c r="J288" s="26">
        <v>0</v>
      </c>
    </row>
    <row r="289" spans="1:10" x14ac:dyDescent="0.2">
      <c r="A289" s="53"/>
      <c r="B289" s="53"/>
      <c r="C289" s="46"/>
      <c r="D289" s="55"/>
      <c r="E289" s="53"/>
      <c r="F289" s="53"/>
      <c r="H289" s="123">
        <f t="shared" si="167"/>
        <v>0</v>
      </c>
      <c r="I289" s="42"/>
      <c r="J289" s="26">
        <v>0</v>
      </c>
    </row>
    <row r="290" spans="1:10" x14ac:dyDescent="0.2">
      <c r="A290" s="53"/>
      <c r="B290" s="53"/>
      <c r="C290" s="46"/>
      <c r="D290" s="55"/>
      <c r="E290" s="53"/>
      <c r="F290" s="53"/>
      <c r="H290" s="123">
        <f t="shared" si="167"/>
        <v>0</v>
      </c>
      <c r="I290" s="42"/>
      <c r="J290" s="26">
        <v>0</v>
      </c>
    </row>
    <row r="291" spans="1:10" x14ac:dyDescent="0.2">
      <c r="A291" s="53"/>
      <c r="B291" s="53"/>
      <c r="C291" s="46"/>
      <c r="D291" s="55"/>
      <c r="E291" s="53"/>
      <c r="F291" s="53"/>
      <c r="H291" s="123">
        <f t="shared" si="167"/>
        <v>0</v>
      </c>
      <c r="I291" s="42"/>
      <c r="J291" s="26">
        <v>0</v>
      </c>
    </row>
    <row r="292" spans="1:10" x14ac:dyDescent="0.2">
      <c r="A292" s="53"/>
      <c r="B292" s="53"/>
      <c r="C292" s="46"/>
      <c r="D292" s="55"/>
      <c r="E292" s="53"/>
      <c r="F292" s="53"/>
      <c r="H292" s="123">
        <f t="shared" si="167"/>
        <v>0</v>
      </c>
      <c r="I292" s="42"/>
      <c r="J292" s="26">
        <v>0</v>
      </c>
    </row>
    <row r="293" spans="1:10" x14ac:dyDescent="0.2">
      <c r="A293" s="53"/>
      <c r="B293" s="53"/>
      <c r="C293" s="46"/>
      <c r="D293" s="55"/>
      <c r="E293" s="53"/>
      <c r="F293" s="53"/>
      <c r="H293" s="123">
        <f t="shared" si="167"/>
        <v>0</v>
      </c>
      <c r="I293" s="42"/>
      <c r="J293" s="26">
        <v>0</v>
      </c>
    </row>
    <row r="294" spans="1:10" x14ac:dyDescent="0.2">
      <c r="A294" s="53"/>
      <c r="B294" s="53"/>
      <c r="C294" s="46"/>
      <c r="D294" s="55"/>
      <c r="E294" s="53"/>
      <c r="F294" s="53"/>
      <c r="H294" s="123">
        <f t="shared" si="167"/>
        <v>0</v>
      </c>
      <c r="I294" s="42"/>
      <c r="J294" s="26">
        <v>0</v>
      </c>
    </row>
    <row r="295" spans="1:10" x14ac:dyDescent="0.2">
      <c r="A295" s="53"/>
      <c r="B295" s="53"/>
      <c r="C295" s="46"/>
      <c r="D295" s="55"/>
      <c r="E295" s="53"/>
      <c r="F295" s="53"/>
      <c r="H295" s="123">
        <f t="shared" si="167"/>
        <v>0</v>
      </c>
      <c r="I295" s="42"/>
      <c r="J295" s="26">
        <v>0</v>
      </c>
    </row>
    <row r="296" spans="1:10" x14ac:dyDescent="0.2">
      <c r="A296" s="53"/>
      <c r="B296" s="53"/>
      <c r="C296" s="46"/>
      <c r="D296" s="55"/>
      <c r="E296" s="53"/>
      <c r="F296" s="53"/>
      <c r="H296" s="123">
        <f t="shared" si="167"/>
        <v>0</v>
      </c>
      <c r="I296" s="42"/>
      <c r="J296" s="26">
        <v>0</v>
      </c>
    </row>
    <row r="297" spans="1:10" x14ac:dyDescent="0.2">
      <c r="A297" s="53"/>
      <c r="B297" s="53"/>
      <c r="C297" s="46"/>
      <c r="D297" s="55"/>
      <c r="E297" s="53"/>
      <c r="F297" s="53"/>
      <c r="H297" s="123">
        <f t="shared" si="167"/>
        <v>0</v>
      </c>
      <c r="I297" s="42"/>
      <c r="J297" s="26">
        <v>0</v>
      </c>
    </row>
    <row r="298" spans="1:10" x14ac:dyDescent="0.2">
      <c r="A298" s="53"/>
      <c r="B298" s="53"/>
      <c r="C298" s="46"/>
      <c r="D298" s="55"/>
      <c r="E298" s="53"/>
      <c r="F298" s="53"/>
      <c r="H298" s="123">
        <f t="shared" si="167"/>
        <v>0</v>
      </c>
      <c r="I298" s="42"/>
      <c r="J298" s="26">
        <v>0</v>
      </c>
    </row>
    <row r="299" spans="1:10" x14ac:dyDescent="0.2">
      <c r="A299" s="53"/>
      <c r="B299" s="53"/>
      <c r="C299" s="46"/>
      <c r="D299" s="55"/>
      <c r="E299" s="53"/>
      <c r="F299" s="53"/>
      <c r="H299" s="123">
        <f t="shared" si="167"/>
        <v>0</v>
      </c>
      <c r="I299" s="42"/>
      <c r="J299" s="26">
        <v>0</v>
      </c>
    </row>
    <row r="300" spans="1:10" x14ac:dyDescent="0.2">
      <c r="A300" s="53"/>
      <c r="B300" s="53"/>
      <c r="C300" s="46"/>
      <c r="D300" s="55"/>
      <c r="E300" s="53"/>
      <c r="F300" s="53"/>
      <c r="H300" s="123">
        <f t="shared" si="167"/>
        <v>0</v>
      </c>
      <c r="I300" s="42"/>
      <c r="J300" s="26">
        <v>0</v>
      </c>
    </row>
    <row r="301" spans="1:10" x14ac:dyDescent="0.2">
      <c r="A301" s="53"/>
      <c r="B301" s="53"/>
      <c r="C301" s="46"/>
      <c r="D301" s="55"/>
      <c r="E301" s="53"/>
      <c r="F301" s="53"/>
      <c r="H301" s="123">
        <f t="shared" si="167"/>
        <v>0</v>
      </c>
      <c r="I301" s="42"/>
      <c r="J301" s="26">
        <v>0</v>
      </c>
    </row>
    <row r="302" spans="1:10" x14ac:dyDescent="0.2">
      <c r="A302" s="53"/>
      <c r="B302" s="53"/>
      <c r="C302" s="46"/>
      <c r="D302" s="55"/>
      <c r="E302" s="53"/>
      <c r="F302" s="53"/>
      <c r="H302" s="123">
        <f t="shared" si="167"/>
        <v>0</v>
      </c>
      <c r="I302" s="42"/>
      <c r="J302" s="26">
        <v>0</v>
      </c>
    </row>
    <row r="303" spans="1:10" x14ac:dyDescent="0.2">
      <c r="A303" s="53"/>
      <c r="B303" s="53"/>
      <c r="C303" s="46"/>
      <c r="D303" s="55"/>
      <c r="E303" s="53"/>
      <c r="F303" s="53"/>
      <c r="H303" s="123">
        <f t="shared" si="167"/>
        <v>0</v>
      </c>
      <c r="I303" s="42"/>
      <c r="J303" s="26">
        <v>0</v>
      </c>
    </row>
    <row r="304" spans="1:10" x14ac:dyDescent="0.2">
      <c r="A304" s="53"/>
      <c r="B304" s="53"/>
      <c r="C304" s="46"/>
      <c r="D304" s="55"/>
      <c r="E304" s="53"/>
      <c r="F304" s="53"/>
      <c r="H304" s="123">
        <f t="shared" si="167"/>
        <v>0</v>
      </c>
      <c r="I304" s="42"/>
      <c r="J304" s="26">
        <v>0</v>
      </c>
    </row>
    <row r="305" spans="1:10" x14ac:dyDescent="0.2">
      <c r="A305" s="53"/>
      <c r="B305" s="53"/>
      <c r="C305" s="46"/>
      <c r="D305" s="55"/>
      <c r="E305" s="53"/>
      <c r="F305" s="53"/>
      <c r="H305" s="123">
        <f t="shared" si="167"/>
        <v>0</v>
      </c>
      <c r="I305" s="42"/>
      <c r="J305" s="26">
        <v>0</v>
      </c>
    </row>
    <row r="306" spans="1:10" x14ac:dyDescent="0.2">
      <c r="A306" s="53"/>
      <c r="B306" s="53"/>
      <c r="C306" s="46"/>
      <c r="D306" s="55"/>
      <c r="E306" s="53"/>
      <c r="F306" s="53"/>
      <c r="H306" s="123">
        <f t="shared" si="167"/>
        <v>0</v>
      </c>
      <c r="I306" s="42"/>
      <c r="J306" s="26">
        <v>0</v>
      </c>
    </row>
    <row r="307" spans="1:10" x14ac:dyDescent="0.2">
      <c r="A307" s="53"/>
      <c r="B307" s="53"/>
      <c r="C307" s="46"/>
      <c r="D307" s="55"/>
      <c r="E307" s="53"/>
      <c r="F307" s="53"/>
      <c r="H307" s="123">
        <f t="shared" si="167"/>
        <v>0</v>
      </c>
      <c r="I307" s="42"/>
      <c r="J307" s="26">
        <v>0</v>
      </c>
    </row>
    <row r="308" spans="1:10" x14ac:dyDescent="0.2">
      <c r="A308" s="53"/>
      <c r="B308" s="53"/>
      <c r="C308" s="46"/>
      <c r="D308" s="55"/>
      <c r="E308" s="53"/>
      <c r="F308" s="53"/>
      <c r="H308" s="123">
        <f t="shared" si="167"/>
        <v>0</v>
      </c>
      <c r="I308" s="42"/>
      <c r="J308" s="26">
        <v>0</v>
      </c>
    </row>
    <row r="309" spans="1:10" x14ac:dyDescent="0.2">
      <c r="A309" s="53"/>
      <c r="B309" s="53"/>
      <c r="C309" s="46"/>
      <c r="D309" s="55"/>
      <c r="E309" s="53"/>
      <c r="F309" s="53"/>
      <c r="H309" s="123">
        <f t="shared" si="167"/>
        <v>0</v>
      </c>
      <c r="I309" s="42"/>
      <c r="J309" s="26">
        <v>0</v>
      </c>
    </row>
    <row r="310" spans="1:10" x14ac:dyDescent="0.2">
      <c r="A310" s="53"/>
      <c r="B310" s="53"/>
      <c r="C310" s="46"/>
      <c r="D310" s="55"/>
      <c r="E310" s="53"/>
      <c r="F310" s="53"/>
      <c r="H310" s="123">
        <f t="shared" si="167"/>
        <v>0</v>
      </c>
      <c r="I310" s="42"/>
      <c r="J310" s="26">
        <v>0</v>
      </c>
    </row>
    <row r="311" spans="1:10" x14ac:dyDescent="0.2">
      <c r="A311" s="53"/>
      <c r="B311" s="53"/>
      <c r="C311" s="46"/>
      <c r="D311" s="55"/>
      <c r="E311" s="53"/>
      <c r="F311" s="53"/>
      <c r="H311" s="123">
        <f t="shared" si="167"/>
        <v>0</v>
      </c>
      <c r="I311" s="42"/>
      <c r="J311" s="26">
        <v>0</v>
      </c>
    </row>
    <row r="312" spans="1:10" x14ac:dyDescent="0.2">
      <c r="A312" s="53"/>
      <c r="B312" s="53"/>
      <c r="C312" s="46"/>
      <c r="D312" s="55"/>
      <c r="E312" s="53"/>
      <c r="F312" s="53"/>
      <c r="H312" s="123">
        <f t="shared" si="167"/>
        <v>0</v>
      </c>
      <c r="I312" s="42"/>
      <c r="J312" s="26">
        <v>0</v>
      </c>
    </row>
    <row r="313" spans="1:10" x14ac:dyDescent="0.2">
      <c r="A313" s="53"/>
      <c r="B313" s="53"/>
      <c r="C313" s="46"/>
      <c r="D313" s="55"/>
      <c r="E313" s="53"/>
      <c r="F313" s="53"/>
      <c r="H313" s="123">
        <f t="shared" si="167"/>
        <v>0</v>
      </c>
      <c r="I313" s="42"/>
      <c r="J313" s="26">
        <v>0</v>
      </c>
    </row>
    <row r="314" spans="1:10" x14ac:dyDescent="0.2">
      <c r="A314" s="53"/>
      <c r="B314" s="53"/>
      <c r="C314" s="46"/>
      <c r="D314" s="55"/>
      <c r="E314" s="53"/>
      <c r="F314" s="53"/>
      <c r="H314" s="123">
        <f t="shared" si="167"/>
        <v>0</v>
      </c>
      <c r="I314" s="42"/>
      <c r="J314" s="26">
        <v>0</v>
      </c>
    </row>
    <row r="315" spans="1:10" x14ac:dyDescent="0.2">
      <c r="A315" s="53"/>
      <c r="B315" s="53"/>
      <c r="C315" s="46"/>
      <c r="D315" s="55"/>
      <c r="E315" s="53"/>
      <c r="F315" s="53"/>
      <c r="H315" s="123">
        <f t="shared" si="167"/>
        <v>0</v>
      </c>
      <c r="I315" s="42"/>
      <c r="J315" s="26">
        <v>0</v>
      </c>
    </row>
    <row r="316" spans="1:10" x14ac:dyDescent="0.2">
      <c r="A316" s="53"/>
      <c r="B316" s="53"/>
      <c r="C316" s="46"/>
      <c r="D316" s="55"/>
      <c r="E316" s="53"/>
      <c r="F316" s="53"/>
      <c r="H316" s="123">
        <f t="shared" si="167"/>
        <v>0</v>
      </c>
      <c r="I316" s="42"/>
      <c r="J316" s="26">
        <v>0</v>
      </c>
    </row>
    <row r="317" spans="1:10" x14ac:dyDescent="0.2">
      <c r="A317" s="53"/>
      <c r="B317" s="53"/>
      <c r="C317" s="46"/>
      <c r="D317" s="55"/>
      <c r="E317" s="53"/>
      <c r="F317" s="53"/>
      <c r="H317" s="123">
        <f t="shared" si="167"/>
        <v>0</v>
      </c>
      <c r="I317" s="42"/>
      <c r="J317" s="26">
        <v>0</v>
      </c>
    </row>
    <row r="318" spans="1:10" x14ac:dyDescent="0.2">
      <c r="A318" s="53"/>
      <c r="B318" s="53"/>
      <c r="C318" s="46"/>
      <c r="D318" s="55"/>
      <c r="E318" s="53"/>
      <c r="F318" s="53"/>
      <c r="H318" s="123">
        <f t="shared" si="167"/>
        <v>0</v>
      </c>
      <c r="I318" s="42"/>
      <c r="J318" s="26">
        <v>0</v>
      </c>
    </row>
    <row r="319" spans="1:10" x14ac:dyDescent="0.2">
      <c r="A319" s="53"/>
      <c r="B319" s="53"/>
      <c r="C319" s="46"/>
      <c r="D319" s="55"/>
      <c r="E319" s="53"/>
      <c r="F319" s="53"/>
      <c r="H319" s="123">
        <f t="shared" si="167"/>
        <v>0</v>
      </c>
      <c r="I319" s="42"/>
      <c r="J319" s="26">
        <v>0</v>
      </c>
    </row>
    <row r="320" spans="1:10" x14ac:dyDescent="0.2">
      <c r="A320" s="53"/>
      <c r="B320" s="53"/>
      <c r="C320" s="46"/>
      <c r="D320" s="55"/>
      <c r="E320" s="53"/>
      <c r="F320" s="53"/>
      <c r="H320" s="123">
        <f t="shared" si="167"/>
        <v>0</v>
      </c>
      <c r="I320" s="42"/>
      <c r="J320" s="26">
        <v>0</v>
      </c>
    </row>
    <row r="321" spans="1:10" x14ac:dyDescent="0.2">
      <c r="A321" s="53"/>
      <c r="B321" s="53"/>
      <c r="C321" s="46"/>
      <c r="D321" s="55"/>
      <c r="E321" s="53"/>
      <c r="F321" s="53"/>
      <c r="H321" s="123">
        <f t="shared" si="167"/>
        <v>0</v>
      </c>
      <c r="I321" s="42"/>
      <c r="J321" s="26">
        <v>0</v>
      </c>
    </row>
    <row r="322" spans="1:10" x14ac:dyDescent="0.2">
      <c r="A322" s="53"/>
      <c r="B322" s="53"/>
      <c r="C322" s="46"/>
      <c r="D322" s="55"/>
      <c r="E322" s="53"/>
      <c r="F322" s="53"/>
      <c r="H322" s="123">
        <f t="shared" si="167"/>
        <v>0</v>
      </c>
      <c r="I322" s="42"/>
      <c r="J322" s="26">
        <v>0</v>
      </c>
    </row>
    <row r="323" spans="1:10" x14ac:dyDescent="0.2">
      <c r="A323" s="53"/>
      <c r="B323" s="53"/>
      <c r="C323" s="46"/>
      <c r="D323" s="55"/>
      <c r="E323" s="53"/>
      <c r="F323" s="53"/>
      <c r="H323" s="123">
        <f t="shared" si="167"/>
        <v>0</v>
      </c>
      <c r="I323" s="42"/>
      <c r="J323" s="26">
        <v>0</v>
      </c>
    </row>
    <row r="324" spans="1:10" x14ac:dyDescent="0.2">
      <c r="A324" s="53"/>
      <c r="B324" s="53"/>
      <c r="C324" s="46"/>
      <c r="D324" s="55"/>
      <c r="E324" s="53"/>
      <c r="F324" s="53"/>
      <c r="H324" s="123">
        <f t="shared" si="167"/>
        <v>0</v>
      </c>
      <c r="I324" s="42"/>
      <c r="J324" s="26">
        <v>0</v>
      </c>
    </row>
    <row r="325" spans="1:10" x14ac:dyDescent="0.2">
      <c r="A325" s="53"/>
      <c r="B325" s="53"/>
      <c r="C325" s="46"/>
      <c r="D325" s="55"/>
      <c r="E325" s="53"/>
      <c r="F325" s="53"/>
      <c r="H325" s="123">
        <f t="shared" si="167"/>
        <v>0</v>
      </c>
      <c r="I325" s="42"/>
      <c r="J325" s="26">
        <v>0</v>
      </c>
    </row>
    <row r="326" spans="1:10" x14ac:dyDescent="0.2">
      <c r="A326" s="53"/>
      <c r="B326" s="53"/>
      <c r="C326" s="46"/>
      <c r="D326" s="55"/>
      <c r="E326" s="53"/>
      <c r="F326" s="53"/>
      <c r="H326" s="123">
        <f t="shared" si="167"/>
        <v>0</v>
      </c>
      <c r="I326" s="42"/>
      <c r="J326" s="26">
        <v>0</v>
      </c>
    </row>
    <row r="327" spans="1:10" x14ac:dyDescent="0.2">
      <c r="A327" s="53"/>
      <c r="B327" s="53"/>
      <c r="C327" s="46"/>
      <c r="D327" s="55"/>
      <c r="E327" s="53"/>
      <c r="F327" s="53"/>
      <c r="H327" s="123">
        <f t="shared" si="167"/>
        <v>0</v>
      </c>
      <c r="I327" s="42"/>
      <c r="J327" s="26">
        <v>0</v>
      </c>
    </row>
    <row r="328" spans="1:10" x14ac:dyDescent="0.2">
      <c r="A328" s="53"/>
      <c r="B328" s="53"/>
      <c r="C328" s="46"/>
      <c r="D328" s="55"/>
      <c r="E328" s="53"/>
      <c r="F328" s="53"/>
      <c r="H328" s="123">
        <f t="shared" si="167"/>
        <v>0</v>
      </c>
      <c r="I328" s="42"/>
      <c r="J328" s="26">
        <v>0</v>
      </c>
    </row>
    <row r="329" spans="1:10" x14ac:dyDescent="0.2">
      <c r="A329" s="53"/>
      <c r="B329" s="53"/>
      <c r="C329" s="46"/>
      <c r="D329" s="55"/>
      <c r="E329" s="53"/>
      <c r="F329" s="53"/>
      <c r="H329" s="123">
        <f t="shared" si="167"/>
        <v>0</v>
      </c>
      <c r="I329" s="42"/>
      <c r="J329" s="26">
        <v>0</v>
      </c>
    </row>
    <row r="330" spans="1:10" x14ac:dyDescent="0.2">
      <c r="A330" s="53"/>
      <c r="B330" s="53"/>
      <c r="C330" s="46"/>
      <c r="D330" s="55"/>
      <c r="E330" s="53"/>
      <c r="F330" s="53"/>
      <c r="H330" s="123">
        <f t="shared" si="167"/>
        <v>0</v>
      </c>
      <c r="I330" s="42"/>
      <c r="J330" s="26">
        <v>0</v>
      </c>
    </row>
    <row r="331" spans="1:10" x14ac:dyDescent="0.2">
      <c r="A331" s="53"/>
      <c r="B331" s="53"/>
      <c r="C331" s="46"/>
      <c r="D331" s="55"/>
      <c r="E331" s="53"/>
      <c r="F331" s="53"/>
      <c r="H331" s="123">
        <f t="shared" si="167"/>
        <v>0</v>
      </c>
      <c r="I331" s="42"/>
      <c r="J331" s="26">
        <v>0</v>
      </c>
    </row>
    <row r="332" spans="1:10" x14ac:dyDescent="0.2">
      <c r="A332" s="53"/>
      <c r="B332" s="53"/>
      <c r="C332" s="46"/>
      <c r="D332" s="55"/>
      <c r="E332" s="53"/>
      <c r="F332" s="53"/>
      <c r="H332" s="123">
        <f t="shared" si="167"/>
        <v>0</v>
      </c>
      <c r="I332" s="42"/>
      <c r="J332" s="26">
        <v>0</v>
      </c>
    </row>
    <row r="333" spans="1:10" x14ac:dyDescent="0.2">
      <c r="A333" s="53"/>
      <c r="B333" s="53"/>
      <c r="C333" s="46"/>
      <c r="D333" s="55"/>
      <c r="E333" s="53"/>
      <c r="F333" s="53"/>
      <c r="H333" s="123">
        <f t="shared" si="167"/>
        <v>0</v>
      </c>
      <c r="I333" s="42"/>
      <c r="J333" s="26">
        <v>0</v>
      </c>
    </row>
    <row r="334" spans="1:10" x14ac:dyDescent="0.2">
      <c r="A334" s="53"/>
      <c r="B334" s="53"/>
      <c r="C334" s="46"/>
      <c r="D334" s="55"/>
      <c r="E334" s="53"/>
      <c r="F334" s="53"/>
      <c r="H334" s="123">
        <f t="shared" si="167"/>
        <v>0</v>
      </c>
      <c r="I334" s="42"/>
      <c r="J334" s="26">
        <v>0</v>
      </c>
    </row>
    <row r="335" spans="1:10" x14ac:dyDescent="0.2">
      <c r="A335" s="53"/>
      <c r="B335" s="53"/>
      <c r="C335" s="46"/>
      <c r="D335" s="55"/>
      <c r="E335" s="53"/>
      <c r="F335" s="53"/>
      <c r="H335" s="123">
        <f t="shared" si="167"/>
        <v>0</v>
      </c>
      <c r="I335" s="42"/>
      <c r="J335" s="26">
        <v>0</v>
      </c>
    </row>
    <row r="336" spans="1:10" x14ac:dyDescent="0.2">
      <c r="A336" s="53"/>
      <c r="B336" s="53"/>
      <c r="C336" s="46"/>
      <c r="D336" s="55"/>
      <c r="E336" s="53"/>
      <c r="F336" s="53"/>
      <c r="H336" s="123">
        <f t="shared" si="167"/>
        <v>0</v>
      </c>
      <c r="I336" s="42"/>
      <c r="J336" s="26">
        <v>0</v>
      </c>
    </row>
    <row r="337" spans="1:10" x14ac:dyDescent="0.2">
      <c r="A337" s="53"/>
      <c r="B337" s="53"/>
      <c r="C337" s="46"/>
      <c r="D337" s="55"/>
      <c r="E337" s="53"/>
      <c r="F337" s="53"/>
      <c r="H337" s="123">
        <f t="shared" si="167"/>
        <v>0</v>
      </c>
      <c r="I337" s="42"/>
      <c r="J337" s="26">
        <v>0</v>
      </c>
    </row>
    <row r="338" spans="1:10" x14ac:dyDescent="0.2">
      <c r="A338" s="53"/>
      <c r="B338" s="53"/>
      <c r="C338" s="46"/>
      <c r="D338" s="55"/>
      <c r="E338" s="53"/>
      <c r="F338" s="53"/>
      <c r="H338" s="123">
        <f t="shared" si="167"/>
        <v>0</v>
      </c>
      <c r="I338" s="42"/>
      <c r="J338" s="26">
        <v>0</v>
      </c>
    </row>
    <row r="339" spans="1:10" x14ac:dyDescent="0.2">
      <c r="A339" s="53"/>
      <c r="B339" s="53"/>
      <c r="C339" s="46"/>
      <c r="D339" s="55"/>
      <c r="E339" s="53"/>
      <c r="F339" s="53"/>
      <c r="H339" s="123">
        <f t="shared" si="167"/>
        <v>0</v>
      </c>
      <c r="I339" s="42"/>
      <c r="J339" s="26">
        <v>0</v>
      </c>
    </row>
    <row r="340" spans="1:10" x14ac:dyDescent="0.2">
      <c r="A340" s="53"/>
      <c r="B340" s="53"/>
      <c r="C340" s="46"/>
      <c r="D340" s="55"/>
      <c r="E340" s="53"/>
      <c r="F340" s="53"/>
      <c r="H340" s="123">
        <f t="shared" si="167"/>
        <v>0</v>
      </c>
      <c r="I340" s="42"/>
      <c r="J340" s="26">
        <v>0</v>
      </c>
    </row>
    <row r="341" spans="1:10" x14ac:dyDescent="0.2">
      <c r="A341" s="53"/>
      <c r="B341" s="53"/>
      <c r="C341" s="46"/>
      <c r="D341" s="55"/>
      <c r="E341" s="53"/>
      <c r="F341" s="53"/>
      <c r="H341" s="123">
        <f t="shared" si="167"/>
        <v>0</v>
      </c>
      <c r="I341" s="42"/>
      <c r="J341" s="26">
        <v>0</v>
      </c>
    </row>
    <row r="342" spans="1:10" x14ac:dyDescent="0.2">
      <c r="A342" s="53"/>
      <c r="B342" s="53"/>
      <c r="C342" s="46"/>
      <c r="D342" s="55"/>
      <c r="E342" s="53"/>
      <c r="F342" s="53"/>
      <c r="H342" s="123">
        <f t="shared" si="167"/>
        <v>0</v>
      </c>
      <c r="I342" s="42"/>
      <c r="J342" s="26">
        <v>0</v>
      </c>
    </row>
    <row r="343" spans="1:10" x14ac:dyDescent="0.2">
      <c r="A343" s="53"/>
      <c r="B343" s="53"/>
      <c r="C343" s="46"/>
      <c r="D343" s="55"/>
      <c r="E343" s="53"/>
      <c r="F343" s="53"/>
      <c r="H343" s="123">
        <f t="shared" si="167"/>
        <v>0</v>
      </c>
      <c r="I343" s="42"/>
      <c r="J343" s="26">
        <v>0</v>
      </c>
    </row>
    <row r="344" spans="1:10" x14ac:dyDescent="0.2">
      <c r="A344" s="53"/>
      <c r="B344" s="53"/>
      <c r="C344" s="46"/>
      <c r="D344" s="55"/>
      <c r="E344" s="53"/>
      <c r="F344" s="53"/>
      <c r="H344" s="123">
        <f t="shared" si="167"/>
        <v>0</v>
      </c>
      <c r="I344" s="42"/>
      <c r="J344" s="26">
        <v>0</v>
      </c>
    </row>
    <row r="345" spans="1:10" x14ac:dyDescent="0.2">
      <c r="A345" s="53"/>
      <c r="B345" s="53"/>
      <c r="C345" s="46"/>
      <c r="D345" s="55"/>
      <c r="E345" s="53"/>
      <c r="F345" s="53"/>
      <c r="H345" s="123">
        <f t="shared" si="167"/>
        <v>0</v>
      </c>
      <c r="I345" s="42"/>
      <c r="J345" s="26">
        <v>0</v>
      </c>
    </row>
    <row r="346" spans="1:10" x14ac:dyDescent="0.2">
      <c r="A346" s="53"/>
      <c r="B346" s="53"/>
      <c r="C346" s="46"/>
      <c r="D346" s="55"/>
      <c r="E346" s="53"/>
      <c r="F346" s="53"/>
      <c r="H346" s="123">
        <f t="shared" si="167"/>
        <v>0</v>
      </c>
      <c r="I346" s="42"/>
      <c r="J346" s="26">
        <v>0</v>
      </c>
    </row>
    <row r="347" spans="1:10" x14ac:dyDescent="0.2">
      <c r="A347" s="53"/>
      <c r="B347" s="53"/>
      <c r="C347" s="46"/>
      <c r="D347" s="55"/>
      <c r="E347" s="53"/>
      <c r="F347" s="53"/>
      <c r="H347" s="123">
        <f t="shared" si="167"/>
        <v>0</v>
      </c>
      <c r="I347" s="42"/>
      <c r="J347" s="26">
        <v>0</v>
      </c>
    </row>
    <row r="348" spans="1:10" x14ac:dyDescent="0.2">
      <c r="A348" s="53"/>
      <c r="B348" s="53"/>
      <c r="C348" s="46"/>
      <c r="D348" s="55"/>
      <c r="E348" s="53"/>
      <c r="F348" s="53"/>
      <c r="H348" s="123">
        <f t="shared" si="167"/>
        <v>0</v>
      </c>
      <c r="I348" s="42"/>
      <c r="J348" s="26">
        <v>0</v>
      </c>
    </row>
    <row r="349" spans="1:10" x14ac:dyDescent="0.2">
      <c r="A349" s="53"/>
      <c r="B349" s="53"/>
      <c r="C349" s="46"/>
      <c r="D349" s="55"/>
      <c r="E349" s="53"/>
      <c r="F349" s="53"/>
      <c r="H349" s="123">
        <f t="shared" si="167"/>
        <v>0</v>
      </c>
      <c r="I349" s="42"/>
      <c r="J349" s="26">
        <v>0</v>
      </c>
    </row>
    <row r="350" spans="1:10" x14ac:dyDescent="0.2">
      <c r="A350" s="53"/>
      <c r="B350" s="53"/>
      <c r="C350" s="46"/>
      <c r="D350" s="55"/>
      <c r="E350" s="53"/>
      <c r="F350" s="53"/>
      <c r="H350" s="123">
        <f t="shared" si="167"/>
        <v>0</v>
      </c>
      <c r="I350" s="42"/>
      <c r="J350" s="26">
        <v>0</v>
      </c>
    </row>
    <row r="351" spans="1:10" x14ac:dyDescent="0.2">
      <c r="A351" s="53"/>
      <c r="B351" s="53"/>
      <c r="C351" s="46"/>
      <c r="D351" s="55"/>
      <c r="E351" s="53"/>
      <c r="F351" s="53"/>
      <c r="H351" s="123">
        <f t="shared" ref="H351:H414" si="168">E351+G351</f>
        <v>0</v>
      </c>
      <c r="I351" s="42"/>
      <c r="J351" s="26">
        <v>0</v>
      </c>
    </row>
    <row r="352" spans="1:10" x14ac:dyDescent="0.2">
      <c r="A352" s="53"/>
      <c r="B352" s="53"/>
      <c r="C352" s="46"/>
      <c r="D352" s="55"/>
      <c r="E352" s="53"/>
      <c r="F352" s="53"/>
      <c r="H352" s="123">
        <f t="shared" si="168"/>
        <v>0</v>
      </c>
      <c r="I352" s="42"/>
      <c r="J352" s="26">
        <v>0</v>
      </c>
    </row>
    <row r="353" spans="1:10" x14ac:dyDescent="0.2">
      <c r="A353" s="53"/>
      <c r="B353" s="53"/>
      <c r="C353" s="46"/>
      <c r="D353" s="55"/>
      <c r="E353" s="53"/>
      <c r="F353" s="53"/>
      <c r="H353" s="123">
        <f t="shared" si="168"/>
        <v>0</v>
      </c>
      <c r="I353" s="42"/>
      <c r="J353" s="26">
        <v>0</v>
      </c>
    </row>
    <row r="354" spans="1:10" x14ac:dyDescent="0.2">
      <c r="A354" s="53"/>
      <c r="B354" s="53"/>
      <c r="C354" s="46"/>
      <c r="D354" s="55"/>
      <c r="E354" s="53"/>
      <c r="F354" s="53"/>
      <c r="H354" s="123">
        <f t="shared" si="168"/>
        <v>0</v>
      </c>
      <c r="I354" s="42"/>
      <c r="J354" s="26">
        <v>0</v>
      </c>
    </row>
    <row r="355" spans="1:10" x14ac:dyDescent="0.2">
      <c r="A355" s="53"/>
      <c r="B355" s="53"/>
      <c r="C355" s="46"/>
      <c r="D355" s="55"/>
      <c r="E355" s="53"/>
      <c r="F355" s="53"/>
      <c r="H355" s="123">
        <f t="shared" si="168"/>
        <v>0</v>
      </c>
      <c r="I355" s="42"/>
      <c r="J355" s="26">
        <v>0</v>
      </c>
    </row>
    <row r="356" spans="1:10" x14ac:dyDescent="0.2">
      <c r="A356" s="53"/>
      <c r="B356" s="53"/>
      <c r="C356" s="46"/>
      <c r="D356" s="55"/>
      <c r="E356" s="53"/>
      <c r="F356" s="53"/>
      <c r="H356" s="123">
        <f t="shared" si="168"/>
        <v>0</v>
      </c>
      <c r="I356" s="42"/>
      <c r="J356" s="26">
        <v>0</v>
      </c>
    </row>
    <row r="357" spans="1:10" x14ac:dyDescent="0.2">
      <c r="A357" s="53"/>
      <c r="B357" s="53"/>
      <c r="C357" s="46"/>
      <c r="D357" s="55"/>
      <c r="E357" s="53"/>
      <c r="F357" s="53"/>
      <c r="H357" s="123">
        <f t="shared" si="168"/>
        <v>0</v>
      </c>
      <c r="I357" s="42"/>
      <c r="J357" s="26">
        <v>0</v>
      </c>
    </row>
    <row r="358" spans="1:10" x14ac:dyDescent="0.2">
      <c r="A358" s="53"/>
      <c r="B358" s="53"/>
      <c r="C358" s="46"/>
      <c r="D358" s="55"/>
      <c r="E358" s="53"/>
      <c r="F358" s="53"/>
      <c r="H358" s="123">
        <f t="shared" si="168"/>
        <v>0</v>
      </c>
      <c r="I358" s="42"/>
      <c r="J358" s="26">
        <v>0</v>
      </c>
    </row>
    <row r="359" spans="1:10" x14ac:dyDescent="0.2">
      <c r="A359" s="53"/>
      <c r="B359" s="53"/>
      <c r="C359" s="46"/>
      <c r="D359" s="55"/>
      <c r="E359" s="53"/>
      <c r="F359" s="53"/>
      <c r="H359" s="123">
        <f t="shared" si="168"/>
        <v>0</v>
      </c>
      <c r="I359" s="42"/>
      <c r="J359" s="26">
        <v>0</v>
      </c>
    </row>
    <row r="360" spans="1:10" x14ac:dyDescent="0.2">
      <c r="A360" s="53"/>
      <c r="B360" s="53"/>
      <c r="C360" s="46"/>
      <c r="D360" s="55"/>
      <c r="E360" s="53"/>
      <c r="F360" s="53"/>
      <c r="H360" s="123">
        <f t="shared" si="168"/>
        <v>0</v>
      </c>
      <c r="I360" s="42"/>
      <c r="J360" s="26">
        <v>0</v>
      </c>
    </row>
    <row r="361" spans="1:10" x14ac:dyDescent="0.2">
      <c r="A361" s="53"/>
      <c r="B361" s="53"/>
      <c r="C361" s="46"/>
      <c r="D361" s="55"/>
      <c r="E361" s="53"/>
      <c r="F361" s="53"/>
      <c r="H361" s="123">
        <f t="shared" si="168"/>
        <v>0</v>
      </c>
      <c r="I361" s="42"/>
      <c r="J361" s="26">
        <v>0</v>
      </c>
    </row>
    <row r="362" spans="1:10" x14ac:dyDescent="0.2">
      <c r="A362" s="53"/>
      <c r="B362" s="53"/>
      <c r="C362" s="46"/>
      <c r="D362" s="55"/>
      <c r="E362" s="53"/>
      <c r="F362" s="53"/>
      <c r="H362" s="123">
        <f t="shared" si="168"/>
        <v>0</v>
      </c>
      <c r="I362" s="42"/>
      <c r="J362" s="26">
        <v>0</v>
      </c>
    </row>
    <row r="363" spans="1:10" x14ac:dyDescent="0.2">
      <c r="A363" s="53"/>
      <c r="B363" s="53"/>
      <c r="C363" s="46"/>
      <c r="D363" s="55"/>
      <c r="E363" s="53"/>
      <c r="F363" s="53"/>
      <c r="H363" s="123">
        <f t="shared" si="168"/>
        <v>0</v>
      </c>
      <c r="I363" s="42"/>
      <c r="J363" s="26">
        <v>0</v>
      </c>
    </row>
    <row r="364" spans="1:10" x14ac:dyDescent="0.2">
      <c r="A364" s="53"/>
      <c r="B364" s="53"/>
      <c r="C364" s="46"/>
      <c r="D364" s="55"/>
      <c r="E364" s="53"/>
      <c r="F364" s="53"/>
      <c r="H364" s="123">
        <f t="shared" si="168"/>
        <v>0</v>
      </c>
      <c r="I364" s="42"/>
      <c r="J364" s="26">
        <v>0</v>
      </c>
    </row>
    <row r="365" spans="1:10" x14ac:dyDescent="0.2">
      <c r="A365" s="53"/>
      <c r="B365" s="53"/>
      <c r="C365" s="46"/>
      <c r="D365" s="55"/>
      <c r="E365" s="53"/>
      <c r="F365" s="53"/>
      <c r="H365" s="123">
        <f t="shared" si="168"/>
        <v>0</v>
      </c>
      <c r="I365" s="42"/>
      <c r="J365" s="26">
        <v>0</v>
      </c>
    </row>
    <row r="366" spans="1:10" x14ac:dyDescent="0.2">
      <c r="A366" s="53"/>
      <c r="B366" s="53"/>
      <c r="C366" s="46"/>
      <c r="D366" s="55"/>
      <c r="E366" s="53"/>
      <c r="F366" s="53"/>
      <c r="H366" s="123">
        <f t="shared" si="168"/>
        <v>0</v>
      </c>
      <c r="I366" s="42"/>
      <c r="J366" s="26">
        <v>0</v>
      </c>
    </row>
    <row r="367" spans="1:10" x14ac:dyDescent="0.2">
      <c r="A367" s="53"/>
      <c r="B367" s="53"/>
      <c r="C367" s="46"/>
      <c r="D367" s="55"/>
      <c r="E367" s="53"/>
      <c r="F367" s="53"/>
      <c r="H367" s="123">
        <f t="shared" si="168"/>
        <v>0</v>
      </c>
      <c r="I367" s="42"/>
      <c r="J367" s="26">
        <v>0</v>
      </c>
    </row>
    <row r="368" spans="1:10" x14ac:dyDescent="0.2">
      <c r="A368" s="53"/>
      <c r="B368" s="53"/>
      <c r="C368" s="46"/>
      <c r="D368" s="55"/>
      <c r="E368" s="53"/>
      <c r="F368" s="53"/>
      <c r="H368" s="123">
        <f t="shared" si="168"/>
        <v>0</v>
      </c>
      <c r="I368" s="42"/>
      <c r="J368" s="26">
        <v>0</v>
      </c>
    </row>
    <row r="369" spans="1:10" x14ac:dyDescent="0.2">
      <c r="A369" s="53"/>
      <c r="B369" s="53"/>
      <c r="C369" s="46"/>
      <c r="D369" s="55"/>
      <c r="E369" s="53"/>
      <c r="F369" s="53"/>
      <c r="H369" s="123">
        <f t="shared" si="168"/>
        <v>0</v>
      </c>
      <c r="I369" s="42"/>
      <c r="J369" s="26">
        <v>0</v>
      </c>
    </row>
    <row r="370" spans="1:10" x14ac:dyDescent="0.2">
      <c r="A370" s="53"/>
      <c r="B370" s="53"/>
      <c r="C370" s="46"/>
      <c r="D370" s="55"/>
      <c r="E370" s="53"/>
      <c r="F370" s="53"/>
      <c r="H370" s="123">
        <f t="shared" si="168"/>
        <v>0</v>
      </c>
      <c r="I370" s="42"/>
      <c r="J370" s="26">
        <v>0</v>
      </c>
    </row>
    <row r="371" spans="1:10" x14ac:dyDescent="0.2">
      <c r="A371" s="53"/>
      <c r="B371" s="53"/>
      <c r="C371" s="46"/>
      <c r="D371" s="55"/>
      <c r="E371" s="53"/>
      <c r="F371" s="53"/>
      <c r="H371" s="123">
        <f t="shared" si="168"/>
        <v>0</v>
      </c>
      <c r="I371" s="42"/>
      <c r="J371" s="26">
        <v>0</v>
      </c>
    </row>
    <row r="372" spans="1:10" x14ac:dyDescent="0.2">
      <c r="A372" s="53"/>
      <c r="B372" s="53"/>
      <c r="C372" s="46"/>
      <c r="D372" s="55"/>
      <c r="E372" s="53"/>
      <c r="F372" s="53"/>
      <c r="H372" s="123">
        <f t="shared" si="168"/>
        <v>0</v>
      </c>
      <c r="I372" s="42"/>
      <c r="J372" s="26">
        <v>0</v>
      </c>
    </row>
    <row r="373" spans="1:10" x14ac:dyDescent="0.2">
      <c r="A373" s="53"/>
      <c r="B373" s="53"/>
      <c r="C373" s="46"/>
      <c r="D373" s="55"/>
      <c r="E373" s="53"/>
      <c r="F373" s="53"/>
      <c r="H373" s="123">
        <f t="shared" si="168"/>
        <v>0</v>
      </c>
      <c r="I373" s="42"/>
      <c r="J373" s="26">
        <v>0</v>
      </c>
    </row>
    <row r="374" spans="1:10" x14ac:dyDescent="0.2">
      <c r="A374" s="53"/>
      <c r="B374" s="53"/>
      <c r="C374" s="46"/>
      <c r="D374" s="55"/>
      <c r="E374" s="53"/>
      <c r="F374" s="53"/>
      <c r="H374" s="123">
        <f t="shared" si="168"/>
        <v>0</v>
      </c>
      <c r="I374" s="42"/>
      <c r="J374" s="26">
        <v>0</v>
      </c>
    </row>
    <row r="375" spans="1:10" x14ac:dyDescent="0.2">
      <c r="A375" s="53"/>
      <c r="B375" s="53"/>
      <c r="C375" s="46"/>
      <c r="D375" s="55"/>
      <c r="E375" s="53"/>
      <c r="F375" s="53"/>
      <c r="H375" s="123">
        <f t="shared" si="168"/>
        <v>0</v>
      </c>
      <c r="I375" s="42"/>
      <c r="J375" s="26">
        <v>0</v>
      </c>
    </row>
    <row r="376" spans="1:10" x14ac:dyDescent="0.2">
      <c r="A376" s="53"/>
      <c r="B376" s="53"/>
      <c r="C376" s="46"/>
      <c r="D376" s="55"/>
      <c r="E376" s="53"/>
      <c r="F376" s="53"/>
      <c r="H376" s="123">
        <f t="shared" si="168"/>
        <v>0</v>
      </c>
      <c r="I376" s="42"/>
      <c r="J376" s="26">
        <v>0</v>
      </c>
    </row>
    <row r="377" spans="1:10" x14ac:dyDescent="0.2">
      <c r="A377" s="53"/>
      <c r="B377" s="53"/>
      <c r="C377" s="46"/>
      <c r="D377" s="55"/>
      <c r="E377" s="53"/>
      <c r="F377" s="53"/>
      <c r="H377" s="123">
        <f t="shared" si="168"/>
        <v>0</v>
      </c>
      <c r="I377" s="42"/>
      <c r="J377" s="26">
        <v>0</v>
      </c>
    </row>
    <row r="378" spans="1:10" x14ac:dyDescent="0.2">
      <c r="A378" s="53"/>
      <c r="B378" s="53"/>
      <c r="C378" s="46"/>
      <c r="D378" s="55"/>
      <c r="E378" s="53"/>
      <c r="F378" s="53"/>
      <c r="H378" s="123">
        <f t="shared" si="168"/>
        <v>0</v>
      </c>
      <c r="I378" s="42"/>
      <c r="J378" s="26">
        <v>0</v>
      </c>
    </row>
    <row r="379" spans="1:10" x14ac:dyDescent="0.2">
      <c r="A379" s="53"/>
      <c r="B379" s="53"/>
      <c r="C379" s="46"/>
      <c r="D379" s="55"/>
      <c r="E379" s="53"/>
      <c r="F379" s="53"/>
      <c r="H379" s="123">
        <f t="shared" si="168"/>
        <v>0</v>
      </c>
      <c r="I379" s="42"/>
      <c r="J379" s="26">
        <v>0</v>
      </c>
    </row>
    <row r="380" spans="1:10" x14ac:dyDescent="0.2">
      <c r="A380" s="53"/>
      <c r="B380" s="53"/>
      <c r="C380" s="46"/>
      <c r="D380" s="55"/>
      <c r="E380" s="53"/>
      <c r="F380" s="53"/>
      <c r="H380" s="123">
        <f t="shared" si="168"/>
        <v>0</v>
      </c>
      <c r="I380" s="42"/>
      <c r="J380" s="26">
        <v>0</v>
      </c>
    </row>
    <row r="381" spans="1:10" x14ac:dyDescent="0.2">
      <c r="A381" s="53"/>
      <c r="B381" s="53"/>
      <c r="C381" s="46"/>
      <c r="D381" s="55"/>
      <c r="E381" s="53"/>
      <c r="F381" s="53"/>
      <c r="H381" s="123">
        <f t="shared" si="168"/>
        <v>0</v>
      </c>
      <c r="I381" s="42"/>
      <c r="J381" s="26">
        <v>0</v>
      </c>
    </row>
    <row r="382" spans="1:10" x14ac:dyDescent="0.2">
      <c r="A382" s="53"/>
      <c r="B382" s="53"/>
      <c r="C382" s="46"/>
      <c r="D382" s="55"/>
      <c r="E382" s="53"/>
      <c r="F382" s="53"/>
      <c r="H382" s="123">
        <f t="shared" si="168"/>
        <v>0</v>
      </c>
      <c r="I382" s="42"/>
      <c r="J382" s="26">
        <v>0</v>
      </c>
    </row>
    <row r="383" spans="1:10" x14ac:dyDescent="0.2">
      <c r="A383" s="53"/>
      <c r="B383" s="53"/>
      <c r="C383" s="46"/>
      <c r="D383" s="55"/>
      <c r="E383" s="53"/>
      <c r="F383" s="53"/>
      <c r="H383" s="123">
        <f t="shared" si="168"/>
        <v>0</v>
      </c>
      <c r="I383" s="42"/>
      <c r="J383" s="26">
        <v>0</v>
      </c>
    </row>
    <row r="384" spans="1:10" x14ac:dyDescent="0.2">
      <c r="A384" s="53"/>
      <c r="B384" s="53"/>
      <c r="C384" s="46"/>
      <c r="D384" s="55"/>
      <c r="E384" s="53"/>
      <c r="F384" s="53"/>
      <c r="H384" s="123">
        <f t="shared" si="168"/>
        <v>0</v>
      </c>
      <c r="I384" s="42"/>
      <c r="J384" s="26">
        <v>0</v>
      </c>
    </row>
    <row r="385" spans="1:10" x14ac:dyDescent="0.2">
      <c r="A385" s="53"/>
      <c r="B385" s="53"/>
      <c r="C385" s="46"/>
      <c r="D385" s="55"/>
      <c r="E385" s="53"/>
      <c r="F385" s="53"/>
      <c r="H385" s="123">
        <f t="shared" si="168"/>
        <v>0</v>
      </c>
      <c r="I385" s="42"/>
      <c r="J385" s="26">
        <v>0</v>
      </c>
    </row>
    <row r="386" spans="1:10" x14ac:dyDescent="0.2">
      <c r="A386" s="53"/>
      <c r="B386" s="53"/>
      <c r="C386" s="46"/>
      <c r="D386" s="55"/>
      <c r="E386" s="53"/>
      <c r="F386" s="53"/>
      <c r="H386" s="123">
        <f t="shared" si="168"/>
        <v>0</v>
      </c>
      <c r="I386" s="42"/>
      <c r="J386" s="26">
        <v>0</v>
      </c>
    </row>
    <row r="387" spans="1:10" x14ac:dyDescent="0.2">
      <c r="A387" s="53"/>
      <c r="B387" s="53"/>
      <c r="C387" s="46"/>
      <c r="D387" s="55"/>
      <c r="E387" s="53"/>
      <c r="F387" s="53"/>
      <c r="H387" s="123">
        <f t="shared" si="168"/>
        <v>0</v>
      </c>
      <c r="I387" s="42"/>
      <c r="J387" s="26">
        <v>0</v>
      </c>
    </row>
    <row r="388" spans="1:10" x14ac:dyDescent="0.2">
      <c r="A388" s="53"/>
      <c r="B388" s="53"/>
      <c r="C388" s="46"/>
      <c r="D388" s="55"/>
      <c r="E388" s="53"/>
      <c r="F388" s="53"/>
      <c r="H388" s="123">
        <f t="shared" si="168"/>
        <v>0</v>
      </c>
      <c r="I388" s="42"/>
      <c r="J388" s="26">
        <v>0</v>
      </c>
    </row>
    <row r="389" spans="1:10" x14ac:dyDescent="0.2">
      <c r="A389" s="53"/>
      <c r="B389" s="53"/>
      <c r="C389" s="46"/>
      <c r="D389" s="55"/>
      <c r="E389" s="53"/>
      <c r="F389" s="53"/>
      <c r="H389" s="123">
        <f t="shared" si="168"/>
        <v>0</v>
      </c>
      <c r="I389" s="42"/>
      <c r="J389" s="26">
        <v>0</v>
      </c>
    </row>
    <row r="390" spans="1:10" x14ac:dyDescent="0.2">
      <c r="A390" s="53"/>
      <c r="B390" s="53"/>
      <c r="C390" s="46"/>
      <c r="D390" s="55"/>
      <c r="E390" s="53"/>
      <c r="F390" s="53"/>
      <c r="H390" s="123">
        <f t="shared" si="168"/>
        <v>0</v>
      </c>
      <c r="I390" s="42"/>
      <c r="J390" s="26">
        <v>0</v>
      </c>
    </row>
    <row r="391" spans="1:10" x14ac:dyDescent="0.2">
      <c r="A391" s="53"/>
      <c r="B391" s="53"/>
      <c r="C391" s="46"/>
      <c r="D391" s="55"/>
      <c r="E391" s="53"/>
      <c r="F391" s="53"/>
      <c r="H391" s="123">
        <f t="shared" si="168"/>
        <v>0</v>
      </c>
      <c r="I391" s="42"/>
      <c r="J391" s="26">
        <v>0</v>
      </c>
    </row>
    <row r="392" spans="1:10" x14ac:dyDescent="0.2">
      <c r="A392" s="53"/>
      <c r="B392" s="53"/>
      <c r="C392" s="46"/>
      <c r="D392" s="55"/>
      <c r="E392" s="53"/>
      <c r="F392" s="53"/>
      <c r="H392" s="123">
        <f t="shared" si="168"/>
        <v>0</v>
      </c>
      <c r="I392" s="42"/>
      <c r="J392" s="26">
        <v>0</v>
      </c>
    </row>
    <row r="393" spans="1:10" x14ac:dyDescent="0.2">
      <c r="A393" s="53"/>
      <c r="B393" s="53"/>
      <c r="C393" s="46"/>
      <c r="D393" s="55"/>
      <c r="E393" s="53"/>
      <c r="F393" s="53"/>
      <c r="H393" s="123">
        <f t="shared" si="168"/>
        <v>0</v>
      </c>
      <c r="I393" s="42"/>
      <c r="J393" s="26">
        <v>0</v>
      </c>
    </row>
    <row r="394" spans="1:10" x14ac:dyDescent="0.2">
      <c r="A394" s="53"/>
      <c r="B394" s="53"/>
      <c r="C394" s="46"/>
      <c r="D394" s="55"/>
      <c r="E394" s="53"/>
      <c r="F394" s="53"/>
      <c r="H394" s="123">
        <f t="shared" si="168"/>
        <v>0</v>
      </c>
      <c r="I394" s="42"/>
      <c r="J394" s="26">
        <v>0</v>
      </c>
    </row>
    <row r="395" spans="1:10" x14ac:dyDescent="0.2">
      <c r="A395" s="53"/>
      <c r="B395" s="53"/>
      <c r="C395" s="46"/>
      <c r="D395" s="55"/>
      <c r="E395" s="53"/>
      <c r="F395" s="53"/>
      <c r="H395" s="123">
        <f t="shared" si="168"/>
        <v>0</v>
      </c>
      <c r="I395" s="42"/>
      <c r="J395" s="26">
        <v>0</v>
      </c>
    </row>
    <row r="396" spans="1:10" x14ac:dyDescent="0.2">
      <c r="A396" s="53"/>
      <c r="B396" s="53"/>
      <c r="C396" s="46"/>
      <c r="D396" s="55"/>
      <c r="E396" s="53"/>
      <c r="F396" s="53"/>
      <c r="H396" s="123">
        <f t="shared" si="168"/>
        <v>0</v>
      </c>
      <c r="I396" s="42"/>
      <c r="J396" s="26">
        <v>0</v>
      </c>
    </row>
    <row r="397" spans="1:10" x14ac:dyDescent="0.2">
      <c r="A397" s="53"/>
      <c r="B397" s="53"/>
      <c r="C397" s="46"/>
      <c r="D397" s="55"/>
      <c r="E397" s="53"/>
      <c r="F397" s="53"/>
      <c r="H397" s="123">
        <f t="shared" si="168"/>
        <v>0</v>
      </c>
      <c r="I397" s="42"/>
      <c r="J397" s="26">
        <v>0</v>
      </c>
    </row>
    <row r="398" spans="1:10" x14ac:dyDescent="0.2">
      <c r="A398" s="53"/>
      <c r="B398" s="53"/>
      <c r="C398" s="46"/>
      <c r="D398" s="55"/>
      <c r="E398" s="53"/>
      <c r="F398" s="53"/>
      <c r="H398" s="123">
        <f t="shared" si="168"/>
        <v>0</v>
      </c>
      <c r="I398" s="42"/>
      <c r="J398" s="26">
        <v>0</v>
      </c>
    </row>
    <row r="399" spans="1:10" x14ac:dyDescent="0.2">
      <c r="A399" s="53"/>
      <c r="B399" s="53"/>
      <c r="C399" s="46"/>
      <c r="D399" s="55"/>
      <c r="E399" s="53"/>
      <c r="F399" s="53"/>
      <c r="H399" s="123">
        <f t="shared" si="168"/>
        <v>0</v>
      </c>
      <c r="I399" s="42"/>
      <c r="J399" s="26">
        <v>0</v>
      </c>
    </row>
    <row r="400" spans="1:10" x14ac:dyDescent="0.2">
      <c r="A400" s="53"/>
      <c r="B400" s="53"/>
      <c r="C400" s="46"/>
      <c r="D400" s="55"/>
      <c r="E400" s="53"/>
      <c r="F400" s="53"/>
      <c r="H400" s="123">
        <f t="shared" si="168"/>
        <v>0</v>
      </c>
      <c r="I400" s="42"/>
      <c r="J400" s="26">
        <v>0</v>
      </c>
    </row>
    <row r="401" spans="1:10" x14ac:dyDescent="0.2">
      <c r="A401" s="53"/>
      <c r="B401" s="53"/>
      <c r="C401" s="46"/>
      <c r="D401" s="55"/>
      <c r="E401" s="53"/>
      <c r="F401" s="53"/>
      <c r="H401" s="123">
        <f t="shared" si="168"/>
        <v>0</v>
      </c>
      <c r="I401" s="42"/>
      <c r="J401" s="26">
        <v>0</v>
      </c>
    </row>
    <row r="402" spans="1:10" x14ac:dyDescent="0.2">
      <c r="A402" s="53"/>
      <c r="B402" s="53"/>
      <c r="C402" s="46"/>
      <c r="D402" s="55"/>
      <c r="E402" s="53"/>
      <c r="F402" s="53"/>
      <c r="H402" s="123">
        <f t="shared" si="168"/>
        <v>0</v>
      </c>
      <c r="I402" s="42"/>
      <c r="J402" s="26">
        <v>0</v>
      </c>
    </row>
    <row r="403" spans="1:10" x14ac:dyDescent="0.2">
      <c r="A403" s="53"/>
      <c r="B403" s="53"/>
      <c r="C403" s="46"/>
      <c r="D403" s="55"/>
      <c r="E403" s="53"/>
      <c r="F403" s="53"/>
      <c r="H403" s="123">
        <f t="shared" si="168"/>
        <v>0</v>
      </c>
      <c r="I403" s="42"/>
      <c r="J403" s="26">
        <v>0</v>
      </c>
    </row>
    <row r="404" spans="1:10" x14ac:dyDescent="0.2">
      <c r="A404" s="53"/>
      <c r="B404" s="53"/>
      <c r="C404" s="46"/>
      <c r="D404" s="55"/>
      <c r="E404" s="53"/>
      <c r="F404" s="53"/>
      <c r="H404" s="123">
        <f t="shared" si="168"/>
        <v>0</v>
      </c>
      <c r="I404" s="42"/>
      <c r="J404" s="26">
        <v>0</v>
      </c>
    </row>
    <row r="405" spans="1:10" x14ac:dyDescent="0.2">
      <c r="A405" s="53"/>
      <c r="B405" s="53"/>
      <c r="C405" s="46"/>
      <c r="D405" s="55"/>
      <c r="E405" s="53"/>
      <c r="F405" s="53"/>
      <c r="H405" s="123">
        <f t="shared" si="168"/>
        <v>0</v>
      </c>
      <c r="I405" s="42"/>
      <c r="J405" s="26">
        <v>0</v>
      </c>
    </row>
    <row r="406" spans="1:10" x14ac:dyDescent="0.2">
      <c r="A406" s="53"/>
      <c r="B406" s="53"/>
      <c r="C406" s="46"/>
      <c r="D406" s="55"/>
      <c r="E406" s="53"/>
      <c r="F406" s="53"/>
      <c r="H406" s="123">
        <f t="shared" si="168"/>
        <v>0</v>
      </c>
      <c r="I406" s="42"/>
      <c r="J406" s="26">
        <v>0</v>
      </c>
    </row>
    <row r="407" spans="1:10" x14ac:dyDescent="0.2">
      <c r="A407" s="53"/>
      <c r="B407" s="53"/>
      <c r="C407" s="46"/>
      <c r="D407" s="55"/>
      <c r="E407" s="53"/>
      <c r="F407" s="53"/>
      <c r="H407" s="123">
        <f t="shared" si="168"/>
        <v>0</v>
      </c>
      <c r="I407" s="42"/>
      <c r="J407" s="26">
        <v>0</v>
      </c>
    </row>
    <row r="408" spans="1:10" x14ac:dyDescent="0.2">
      <c r="A408" s="53"/>
      <c r="B408" s="53"/>
      <c r="C408" s="46"/>
      <c r="D408" s="55"/>
      <c r="E408" s="53"/>
      <c r="F408" s="53"/>
      <c r="H408" s="123">
        <f t="shared" si="168"/>
        <v>0</v>
      </c>
      <c r="I408" s="42"/>
      <c r="J408" s="26">
        <v>0</v>
      </c>
    </row>
    <row r="409" spans="1:10" x14ac:dyDescent="0.2">
      <c r="A409" s="53"/>
      <c r="B409" s="53"/>
      <c r="C409" s="46"/>
      <c r="D409" s="55"/>
      <c r="E409" s="53"/>
      <c r="F409" s="53"/>
      <c r="H409" s="123">
        <f t="shared" si="168"/>
        <v>0</v>
      </c>
      <c r="I409" s="42"/>
      <c r="J409" s="26">
        <v>0</v>
      </c>
    </row>
    <row r="410" spans="1:10" x14ac:dyDescent="0.2">
      <c r="A410" s="53"/>
      <c r="B410" s="53"/>
      <c r="C410" s="46"/>
      <c r="D410" s="55"/>
      <c r="E410" s="53"/>
      <c r="F410" s="53"/>
      <c r="H410" s="123">
        <f t="shared" si="168"/>
        <v>0</v>
      </c>
      <c r="I410" s="42"/>
      <c r="J410" s="26">
        <v>0</v>
      </c>
    </row>
    <row r="411" spans="1:10" x14ac:dyDescent="0.2">
      <c r="A411" s="53"/>
      <c r="B411" s="53"/>
      <c r="C411" s="46"/>
      <c r="D411" s="55"/>
      <c r="E411" s="53"/>
      <c r="F411" s="53"/>
      <c r="H411" s="123">
        <f t="shared" si="168"/>
        <v>0</v>
      </c>
      <c r="I411" s="42"/>
      <c r="J411" s="26">
        <v>0</v>
      </c>
    </row>
    <row r="412" spans="1:10" x14ac:dyDescent="0.2">
      <c r="A412" s="53"/>
      <c r="B412" s="53"/>
      <c r="C412" s="46"/>
      <c r="D412" s="55"/>
      <c r="E412" s="53"/>
      <c r="F412" s="53"/>
      <c r="H412" s="123">
        <f t="shared" si="168"/>
        <v>0</v>
      </c>
      <c r="I412" s="42"/>
      <c r="J412" s="26">
        <v>0</v>
      </c>
    </row>
    <row r="413" spans="1:10" x14ac:dyDescent="0.2">
      <c r="A413" s="53"/>
      <c r="B413" s="53"/>
      <c r="C413" s="46"/>
      <c r="D413" s="55"/>
      <c r="E413" s="53"/>
      <c r="F413" s="53"/>
      <c r="H413" s="123">
        <f t="shared" si="168"/>
        <v>0</v>
      </c>
      <c r="I413" s="42"/>
      <c r="J413" s="26">
        <v>0</v>
      </c>
    </row>
    <row r="414" spans="1:10" x14ac:dyDescent="0.2">
      <c r="A414" s="53"/>
      <c r="B414" s="53"/>
      <c r="C414" s="46"/>
      <c r="D414" s="55"/>
      <c r="E414" s="53"/>
      <c r="F414" s="53"/>
      <c r="H414" s="123">
        <f t="shared" si="168"/>
        <v>0</v>
      </c>
      <c r="I414" s="42"/>
      <c r="J414" s="26">
        <v>0</v>
      </c>
    </row>
    <row r="415" spans="1:10" x14ac:dyDescent="0.2">
      <c r="A415" s="53"/>
      <c r="B415" s="53"/>
      <c r="C415" s="46"/>
      <c r="D415" s="55"/>
      <c r="E415" s="53"/>
      <c r="F415" s="53"/>
      <c r="H415" s="123">
        <f t="shared" ref="H415:H478" si="169">E415+G415</f>
        <v>0</v>
      </c>
      <c r="I415" s="42"/>
      <c r="J415" s="26">
        <v>0</v>
      </c>
    </row>
    <row r="416" spans="1:10" x14ac:dyDescent="0.2">
      <c r="A416" s="53"/>
      <c r="B416" s="53"/>
      <c r="C416" s="46"/>
      <c r="D416" s="55"/>
      <c r="E416" s="53"/>
      <c r="F416" s="53"/>
      <c r="H416" s="123">
        <f t="shared" si="169"/>
        <v>0</v>
      </c>
      <c r="I416" s="42"/>
      <c r="J416" s="26">
        <v>0</v>
      </c>
    </row>
    <row r="417" spans="1:10" x14ac:dyDescent="0.2">
      <c r="A417" s="53"/>
      <c r="B417" s="53"/>
      <c r="C417" s="46"/>
      <c r="D417" s="55"/>
      <c r="E417" s="53"/>
      <c r="F417" s="53"/>
      <c r="H417" s="123">
        <f t="shared" si="169"/>
        <v>0</v>
      </c>
      <c r="I417" s="42"/>
      <c r="J417" s="26">
        <v>0</v>
      </c>
    </row>
    <row r="418" spans="1:10" x14ac:dyDescent="0.2">
      <c r="A418" s="53"/>
      <c r="B418" s="53"/>
      <c r="C418" s="46"/>
      <c r="D418" s="55"/>
      <c r="E418" s="53"/>
      <c r="F418" s="53"/>
      <c r="H418" s="123">
        <f t="shared" si="169"/>
        <v>0</v>
      </c>
      <c r="I418" s="42"/>
      <c r="J418" s="26">
        <v>0</v>
      </c>
    </row>
    <row r="419" spans="1:10" x14ac:dyDescent="0.2">
      <c r="A419" s="53"/>
      <c r="B419" s="53"/>
      <c r="C419" s="46"/>
      <c r="D419" s="55"/>
      <c r="E419" s="53"/>
      <c r="F419" s="53"/>
      <c r="H419" s="123">
        <f t="shared" si="169"/>
        <v>0</v>
      </c>
      <c r="I419" s="42"/>
      <c r="J419" s="26">
        <v>0</v>
      </c>
    </row>
    <row r="420" spans="1:10" x14ac:dyDescent="0.2">
      <c r="A420" s="53"/>
      <c r="B420" s="53"/>
      <c r="C420" s="46"/>
      <c r="D420" s="55"/>
      <c r="E420" s="53"/>
      <c r="F420" s="53"/>
      <c r="H420" s="123">
        <f t="shared" si="169"/>
        <v>0</v>
      </c>
      <c r="I420" s="42"/>
      <c r="J420" s="26">
        <v>0</v>
      </c>
    </row>
    <row r="421" spans="1:10" x14ac:dyDescent="0.2">
      <c r="A421" s="53"/>
      <c r="B421" s="53"/>
      <c r="C421" s="46"/>
      <c r="D421" s="55"/>
      <c r="E421" s="53"/>
      <c r="F421" s="53"/>
      <c r="H421" s="123">
        <f t="shared" si="169"/>
        <v>0</v>
      </c>
      <c r="I421" s="42"/>
      <c r="J421" s="26">
        <v>0</v>
      </c>
    </row>
    <row r="422" spans="1:10" x14ac:dyDescent="0.2">
      <c r="A422" s="53"/>
      <c r="B422" s="53"/>
      <c r="C422" s="46"/>
      <c r="D422" s="55"/>
      <c r="E422" s="53"/>
      <c r="F422" s="53"/>
      <c r="H422" s="123">
        <f t="shared" si="169"/>
        <v>0</v>
      </c>
      <c r="I422" s="42"/>
      <c r="J422" s="26">
        <v>0</v>
      </c>
    </row>
    <row r="423" spans="1:10" x14ac:dyDescent="0.2">
      <c r="A423" s="53"/>
      <c r="B423" s="53"/>
      <c r="C423" s="46"/>
      <c r="D423" s="55"/>
      <c r="E423" s="53"/>
      <c r="F423" s="53"/>
      <c r="H423" s="123">
        <f t="shared" si="169"/>
        <v>0</v>
      </c>
      <c r="I423" s="42"/>
      <c r="J423" s="26">
        <v>0</v>
      </c>
    </row>
    <row r="424" spans="1:10" x14ac:dyDescent="0.2">
      <c r="A424" s="53"/>
      <c r="B424" s="53"/>
      <c r="C424" s="46"/>
      <c r="D424" s="55"/>
      <c r="E424" s="53"/>
      <c r="F424" s="53"/>
      <c r="H424" s="123">
        <f t="shared" si="169"/>
        <v>0</v>
      </c>
      <c r="I424" s="42"/>
      <c r="J424" s="26">
        <v>0</v>
      </c>
    </row>
    <row r="425" spans="1:10" x14ac:dyDescent="0.2">
      <c r="A425" s="53"/>
      <c r="B425" s="53"/>
      <c r="C425" s="46"/>
      <c r="D425" s="55"/>
      <c r="E425" s="53"/>
      <c r="F425" s="53"/>
      <c r="H425" s="123">
        <f t="shared" si="169"/>
        <v>0</v>
      </c>
      <c r="I425" s="42"/>
      <c r="J425" s="26">
        <v>0</v>
      </c>
    </row>
    <row r="426" spans="1:10" x14ac:dyDescent="0.2">
      <c r="A426" s="53"/>
      <c r="B426" s="53"/>
      <c r="C426" s="46"/>
      <c r="D426" s="55"/>
      <c r="E426" s="53"/>
      <c r="F426" s="53"/>
      <c r="H426" s="123">
        <f t="shared" si="169"/>
        <v>0</v>
      </c>
      <c r="I426" s="42"/>
      <c r="J426" s="26">
        <v>0</v>
      </c>
    </row>
    <row r="427" spans="1:10" x14ac:dyDescent="0.2">
      <c r="A427" s="53"/>
      <c r="B427" s="53"/>
      <c r="C427" s="46"/>
      <c r="D427" s="55"/>
      <c r="E427" s="53"/>
      <c r="F427" s="53"/>
      <c r="H427" s="123">
        <f t="shared" si="169"/>
        <v>0</v>
      </c>
      <c r="I427" s="42"/>
      <c r="J427" s="26">
        <v>0</v>
      </c>
    </row>
    <row r="428" spans="1:10" x14ac:dyDescent="0.2">
      <c r="A428" s="53"/>
      <c r="B428" s="53"/>
      <c r="C428" s="46"/>
      <c r="D428" s="55"/>
      <c r="E428" s="53"/>
      <c r="F428" s="53"/>
      <c r="H428" s="123">
        <f t="shared" si="169"/>
        <v>0</v>
      </c>
      <c r="I428" s="42"/>
      <c r="J428" s="26">
        <v>0</v>
      </c>
    </row>
    <row r="429" spans="1:10" x14ac:dyDescent="0.2">
      <c r="A429" s="53"/>
      <c r="B429" s="53"/>
      <c r="C429" s="46"/>
      <c r="D429" s="55"/>
      <c r="E429" s="53"/>
      <c r="F429" s="53"/>
      <c r="H429" s="123">
        <f t="shared" si="169"/>
        <v>0</v>
      </c>
      <c r="I429" s="42"/>
      <c r="J429" s="26">
        <v>0</v>
      </c>
    </row>
    <row r="430" spans="1:10" x14ac:dyDescent="0.2">
      <c r="A430" s="53"/>
      <c r="B430" s="53"/>
      <c r="C430" s="46"/>
      <c r="D430" s="55"/>
      <c r="E430" s="53"/>
      <c r="F430" s="53"/>
      <c r="H430" s="123">
        <f t="shared" si="169"/>
        <v>0</v>
      </c>
      <c r="I430" s="42"/>
      <c r="J430" s="26">
        <v>0</v>
      </c>
    </row>
    <row r="431" spans="1:10" x14ac:dyDescent="0.2">
      <c r="A431" s="53"/>
      <c r="B431" s="53"/>
      <c r="C431" s="46"/>
      <c r="D431" s="55"/>
      <c r="E431" s="53"/>
      <c r="F431" s="53"/>
      <c r="H431" s="123">
        <f t="shared" si="169"/>
        <v>0</v>
      </c>
      <c r="I431" s="42"/>
      <c r="J431" s="26">
        <v>0</v>
      </c>
    </row>
    <row r="432" spans="1:10" x14ac:dyDescent="0.2">
      <c r="A432" s="53"/>
      <c r="B432" s="53"/>
      <c r="C432" s="46"/>
      <c r="D432" s="55"/>
      <c r="E432" s="53"/>
      <c r="F432" s="53"/>
      <c r="H432" s="123">
        <f t="shared" si="169"/>
        <v>0</v>
      </c>
      <c r="I432" s="42"/>
      <c r="J432" s="26">
        <v>0</v>
      </c>
    </row>
    <row r="433" spans="1:10" x14ac:dyDescent="0.2">
      <c r="A433" s="53"/>
      <c r="B433" s="53"/>
      <c r="C433" s="46"/>
      <c r="D433" s="55"/>
      <c r="E433" s="53"/>
      <c r="F433" s="53"/>
      <c r="H433" s="123">
        <f t="shared" si="169"/>
        <v>0</v>
      </c>
      <c r="I433" s="42"/>
      <c r="J433" s="26">
        <v>0</v>
      </c>
    </row>
    <row r="434" spans="1:10" x14ac:dyDescent="0.2">
      <c r="A434" s="53"/>
      <c r="B434" s="53"/>
      <c r="C434" s="46"/>
      <c r="D434" s="55"/>
      <c r="E434" s="53"/>
      <c r="F434" s="53"/>
      <c r="H434" s="123">
        <f t="shared" si="169"/>
        <v>0</v>
      </c>
      <c r="I434" s="42"/>
      <c r="J434" s="26">
        <v>0</v>
      </c>
    </row>
    <row r="435" spans="1:10" x14ac:dyDescent="0.2">
      <c r="A435" s="53"/>
      <c r="B435" s="53"/>
      <c r="C435" s="46"/>
      <c r="D435" s="55"/>
      <c r="E435" s="53"/>
      <c r="F435" s="53"/>
      <c r="H435" s="123">
        <f t="shared" si="169"/>
        <v>0</v>
      </c>
      <c r="I435" s="42"/>
      <c r="J435" s="26">
        <v>0</v>
      </c>
    </row>
    <row r="436" spans="1:10" x14ac:dyDescent="0.2">
      <c r="A436" s="53"/>
      <c r="B436" s="53"/>
      <c r="C436" s="46"/>
      <c r="D436" s="55"/>
      <c r="E436" s="53"/>
      <c r="F436" s="53"/>
      <c r="H436" s="123">
        <f t="shared" si="169"/>
        <v>0</v>
      </c>
      <c r="I436" s="42"/>
      <c r="J436" s="26">
        <v>0</v>
      </c>
    </row>
    <row r="437" spans="1:10" x14ac:dyDescent="0.2">
      <c r="A437" s="53"/>
      <c r="B437" s="53"/>
      <c r="C437" s="46"/>
      <c r="D437" s="55"/>
      <c r="E437" s="53"/>
      <c r="F437" s="53"/>
      <c r="H437" s="123">
        <f t="shared" si="169"/>
        <v>0</v>
      </c>
      <c r="I437" s="42"/>
      <c r="J437" s="26">
        <v>0</v>
      </c>
    </row>
    <row r="438" spans="1:10" x14ac:dyDescent="0.2">
      <c r="A438" s="53"/>
      <c r="B438" s="53"/>
      <c r="C438" s="46"/>
      <c r="D438" s="55"/>
      <c r="E438" s="53"/>
      <c r="F438" s="53"/>
      <c r="H438" s="123">
        <f t="shared" si="169"/>
        <v>0</v>
      </c>
      <c r="I438" s="42"/>
      <c r="J438" s="26">
        <v>0</v>
      </c>
    </row>
    <row r="439" spans="1:10" x14ac:dyDescent="0.2">
      <c r="A439" s="53"/>
      <c r="B439" s="53"/>
      <c r="C439" s="46"/>
      <c r="D439" s="55"/>
      <c r="E439" s="53"/>
      <c r="F439" s="53"/>
      <c r="H439" s="123">
        <f t="shared" si="169"/>
        <v>0</v>
      </c>
      <c r="I439" s="42"/>
      <c r="J439" s="26">
        <v>0</v>
      </c>
    </row>
    <row r="440" spans="1:10" x14ac:dyDescent="0.2">
      <c r="A440" s="53"/>
      <c r="B440" s="53"/>
      <c r="C440" s="46"/>
      <c r="D440" s="55"/>
      <c r="E440" s="53"/>
      <c r="F440" s="53"/>
      <c r="H440" s="123">
        <f t="shared" si="169"/>
        <v>0</v>
      </c>
      <c r="I440" s="42"/>
      <c r="J440" s="26">
        <v>0</v>
      </c>
    </row>
    <row r="441" spans="1:10" x14ac:dyDescent="0.2">
      <c r="A441" s="53"/>
      <c r="B441" s="53"/>
      <c r="C441" s="46"/>
      <c r="D441" s="55"/>
      <c r="E441" s="53"/>
      <c r="F441" s="53"/>
      <c r="H441" s="123">
        <f t="shared" si="169"/>
        <v>0</v>
      </c>
      <c r="I441" s="42"/>
      <c r="J441" s="26">
        <v>0</v>
      </c>
    </row>
    <row r="442" spans="1:10" x14ac:dyDescent="0.2">
      <c r="A442" s="53"/>
      <c r="B442" s="53"/>
      <c r="C442" s="46"/>
      <c r="D442" s="55"/>
      <c r="E442" s="53"/>
      <c r="F442" s="53"/>
      <c r="H442" s="123">
        <f t="shared" si="169"/>
        <v>0</v>
      </c>
      <c r="I442" s="42"/>
      <c r="J442" s="26">
        <v>0</v>
      </c>
    </row>
    <row r="443" spans="1:10" x14ac:dyDescent="0.2">
      <c r="A443" s="53"/>
      <c r="B443" s="53"/>
      <c r="C443" s="46"/>
      <c r="D443" s="55"/>
      <c r="E443" s="53"/>
      <c r="F443" s="53"/>
      <c r="H443" s="123">
        <f t="shared" si="169"/>
        <v>0</v>
      </c>
      <c r="I443" s="42"/>
      <c r="J443" s="26">
        <v>0</v>
      </c>
    </row>
    <row r="444" spans="1:10" x14ac:dyDescent="0.2">
      <c r="A444" s="53"/>
      <c r="B444" s="53"/>
      <c r="C444" s="46"/>
      <c r="D444" s="55"/>
      <c r="E444" s="53"/>
      <c r="F444" s="53"/>
      <c r="H444" s="123">
        <f t="shared" si="169"/>
        <v>0</v>
      </c>
      <c r="I444" s="42"/>
      <c r="J444" s="26">
        <v>0</v>
      </c>
    </row>
    <row r="445" spans="1:10" x14ac:dyDescent="0.2">
      <c r="A445" s="53"/>
      <c r="B445" s="53"/>
      <c r="C445" s="46"/>
      <c r="D445" s="55"/>
      <c r="E445" s="53"/>
      <c r="F445" s="53"/>
      <c r="H445" s="123">
        <f t="shared" si="169"/>
        <v>0</v>
      </c>
      <c r="I445" s="42"/>
      <c r="J445" s="26">
        <v>0</v>
      </c>
    </row>
    <row r="446" spans="1:10" x14ac:dyDescent="0.2">
      <c r="A446" s="53"/>
      <c r="B446" s="53"/>
      <c r="C446" s="46"/>
      <c r="D446" s="55"/>
      <c r="E446" s="53"/>
      <c r="F446" s="53"/>
      <c r="H446" s="123">
        <f t="shared" si="169"/>
        <v>0</v>
      </c>
      <c r="I446" s="42"/>
      <c r="J446" s="26">
        <v>0</v>
      </c>
    </row>
    <row r="447" spans="1:10" x14ac:dyDescent="0.2">
      <c r="A447" s="53"/>
      <c r="B447" s="53"/>
      <c r="C447" s="46"/>
      <c r="D447" s="55"/>
      <c r="E447" s="53"/>
      <c r="F447" s="53"/>
      <c r="H447" s="123">
        <f t="shared" si="169"/>
        <v>0</v>
      </c>
      <c r="I447" s="42"/>
      <c r="J447" s="26">
        <v>0</v>
      </c>
    </row>
    <row r="448" spans="1:10" x14ac:dyDescent="0.2">
      <c r="A448" s="53"/>
      <c r="B448" s="53"/>
      <c r="C448" s="46"/>
      <c r="D448" s="55"/>
      <c r="E448" s="53"/>
      <c r="F448" s="53"/>
      <c r="H448" s="123">
        <f t="shared" si="169"/>
        <v>0</v>
      </c>
      <c r="I448" s="42"/>
      <c r="J448" s="26">
        <v>0</v>
      </c>
    </row>
    <row r="449" spans="1:10" x14ac:dyDescent="0.2">
      <c r="A449" s="53"/>
      <c r="B449" s="53"/>
      <c r="C449" s="46"/>
      <c r="D449" s="55"/>
      <c r="E449" s="53"/>
      <c r="F449" s="53"/>
      <c r="H449" s="123">
        <f t="shared" si="169"/>
        <v>0</v>
      </c>
      <c r="I449" s="42"/>
      <c r="J449" s="26">
        <v>0</v>
      </c>
    </row>
    <row r="450" spans="1:10" x14ac:dyDescent="0.2">
      <c r="A450" s="53"/>
      <c r="B450" s="53"/>
      <c r="C450" s="46"/>
      <c r="D450" s="55"/>
      <c r="E450" s="53"/>
      <c r="F450" s="53"/>
      <c r="H450" s="123">
        <f t="shared" si="169"/>
        <v>0</v>
      </c>
      <c r="I450" s="42"/>
      <c r="J450" s="26">
        <v>0</v>
      </c>
    </row>
    <row r="451" spans="1:10" x14ac:dyDescent="0.2">
      <c r="A451" s="53"/>
      <c r="B451" s="53"/>
      <c r="C451" s="46"/>
      <c r="D451" s="55"/>
      <c r="E451" s="53"/>
      <c r="F451" s="53"/>
      <c r="H451" s="123">
        <f t="shared" si="169"/>
        <v>0</v>
      </c>
      <c r="I451" s="42"/>
      <c r="J451" s="26">
        <v>0</v>
      </c>
    </row>
    <row r="452" spans="1:10" x14ac:dyDescent="0.2">
      <c r="A452" s="53"/>
      <c r="B452" s="53"/>
      <c r="C452" s="46"/>
      <c r="D452" s="55"/>
      <c r="E452" s="53"/>
      <c r="F452" s="53"/>
      <c r="H452" s="123">
        <f t="shared" si="169"/>
        <v>0</v>
      </c>
      <c r="I452" s="42"/>
      <c r="J452" s="26">
        <v>0</v>
      </c>
    </row>
    <row r="453" spans="1:10" x14ac:dyDescent="0.2">
      <c r="A453" s="53"/>
      <c r="B453" s="53"/>
      <c r="C453" s="46"/>
      <c r="D453" s="55"/>
      <c r="E453" s="53"/>
      <c r="F453" s="53"/>
      <c r="H453" s="123">
        <f t="shared" si="169"/>
        <v>0</v>
      </c>
      <c r="I453" s="42"/>
      <c r="J453" s="26">
        <v>0</v>
      </c>
    </row>
    <row r="454" spans="1:10" x14ac:dyDescent="0.2">
      <c r="A454" s="53"/>
      <c r="B454" s="53"/>
      <c r="C454" s="46"/>
      <c r="D454" s="55"/>
      <c r="E454" s="53"/>
      <c r="F454" s="53"/>
      <c r="H454" s="123">
        <f t="shared" si="169"/>
        <v>0</v>
      </c>
      <c r="I454" s="42"/>
      <c r="J454" s="26">
        <v>0</v>
      </c>
    </row>
    <row r="455" spans="1:10" x14ac:dyDescent="0.2">
      <c r="A455" s="53"/>
      <c r="B455" s="53"/>
      <c r="C455" s="46"/>
      <c r="D455" s="55"/>
      <c r="E455" s="53"/>
      <c r="F455" s="53"/>
      <c r="H455" s="123">
        <f t="shared" si="169"/>
        <v>0</v>
      </c>
      <c r="I455" s="42"/>
      <c r="J455" s="26">
        <v>0</v>
      </c>
    </row>
    <row r="456" spans="1:10" x14ac:dyDescent="0.2">
      <c r="A456" s="53"/>
      <c r="B456" s="53"/>
      <c r="C456" s="46"/>
      <c r="D456" s="55"/>
      <c r="E456" s="53"/>
      <c r="F456" s="53"/>
      <c r="H456" s="123">
        <f t="shared" si="169"/>
        <v>0</v>
      </c>
      <c r="I456" s="42"/>
      <c r="J456" s="26">
        <v>0</v>
      </c>
    </row>
    <row r="457" spans="1:10" x14ac:dyDescent="0.2">
      <c r="A457" s="53"/>
      <c r="B457" s="53"/>
      <c r="C457" s="46"/>
      <c r="D457" s="55"/>
      <c r="E457" s="53"/>
      <c r="F457" s="53"/>
      <c r="H457" s="123">
        <f t="shared" si="169"/>
        <v>0</v>
      </c>
      <c r="I457" s="42"/>
      <c r="J457" s="26">
        <v>0</v>
      </c>
    </row>
    <row r="458" spans="1:10" x14ac:dyDescent="0.2">
      <c r="A458" s="53"/>
      <c r="B458" s="53"/>
      <c r="C458" s="46"/>
      <c r="D458" s="55"/>
      <c r="E458" s="53"/>
      <c r="F458" s="53"/>
      <c r="H458" s="123">
        <f t="shared" si="169"/>
        <v>0</v>
      </c>
      <c r="I458" s="42"/>
      <c r="J458" s="26">
        <v>0</v>
      </c>
    </row>
    <row r="459" spans="1:10" x14ac:dyDescent="0.2">
      <c r="A459" s="53"/>
      <c r="B459" s="53"/>
      <c r="C459" s="46"/>
      <c r="D459" s="55"/>
      <c r="E459" s="53"/>
      <c r="F459" s="53"/>
      <c r="H459" s="123">
        <f t="shared" si="169"/>
        <v>0</v>
      </c>
      <c r="I459" s="42"/>
      <c r="J459" s="26">
        <v>0</v>
      </c>
    </row>
    <row r="460" spans="1:10" x14ac:dyDescent="0.2">
      <c r="A460" s="53"/>
      <c r="B460" s="53"/>
      <c r="C460" s="46"/>
      <c r="D460" s="55"/>
      <c r="E460" s="53"/>
      <c r="F460" s="53"/>
      <c r="H460" s="123">
        <f t="shared" si="169"/>
        <v>0</v>
      </c>
      <c r="I460" s="42"/>
      <c r="J460" s="26">
        <v>0</v>
      </c>
    </row>
    <row r="461" spans="1:10" x14ac:dyDescent="0.2">
      <c r="A461" s="53"/>
      <c r="B461" s="53"/>
      <c r="C461" s="46"/>
      <c r="D461" s="55"/>
      <c r="E461" s="53"/>
      <c r="F461" s="53"/>
      <c r="H461" s="123">
        <f t="shared" si="169"/>
        <v>0</v>
      </c>
      <c r="I461" s="42"/>
      <c r="J461" s="26">
        <v>0</v>
      </c>
    </row>
    <row r="462" spans="1:10" x14ac:dyDescent="0.2">
      <c r="A462" s="53"/>
      <c r="B462" s="53"/>
      <c r="C462" s="46"/>
      <c r="D462" s="55"/>
      <c r="E462" s="53"/>
      <c r="F462" s="53"/>
      <c r="H462" s="123">
        <f t="shared" si="169"/>
        <v>0</v>
      </c>
      <c r="I462" s="42"/>
      <c r="J462" s="26">
        <v>0</v>
      </c>
    </row>
    <row r="463" spans="1:10" x14ac:dyDescent="0.2">
      <c r="A463" s="53"/>
      <c r="B463" s="53"/>
      <c r="C463" s="46"/>
      <c r="D463" s="55"/>
      <c r="E463" s="53"/>
      <c r="F463" s="53"/>
      <c r="H463" s="123">
        <f t="shared" si="169"/>
        <v>0</v>
      </c>
      <c r="I463" s="42"/>
      <c r="J463" s="26">
        <v>0</v>
      </c>
    </row>
    <row r="464" spans="1:10" x14ac:dyDescent="0.2">
      <c r="A464" s="53"/>
      <c r="B464" s="53"/>
      <c r="C464" s="46"/>
      <c r="D464" s="55"/>
      <c r="E464" s="53"/>
      <c r="F464" s="53"/>
      <c r="H464" s="123">
        <f t="shared" si="169"/>
        <v>0</v>
      </c>
      <c r="I464" s="42"/>
      <c r="J464" s="26">
        <v>0</v>
      </c>
    </row>
    <row r="465" spans="1:10" x14ac:dyDescent="0.2">
      <c r="A465" s="53"/>
      <c r="B465" s="53"/>
      <c r="C465" s="46"/>
      <c r="D465" s="55"/>
      <c r="E465" s="53"/>
      <c r="F465" s="53"/>
      <c r="H465" s="123">
        <f t="shared" si="169"/>
        <v>0</v>
      </c>
      <c r="I465" s="42"/>
      <c r="J465" s="26">
        <v>0</v>
      </c>
    </row>
    <row r="466" spans="1:10" x14ac:dyDescent="0.2">
      <c r="A466" s="53"/>
      <c r="B466" s="53"/>
      <c r="C466" s="46"/>
      <c r="D466" s="55"/>
      <c r="E466" s="53"/>
      <c r="F466" s="53"/>
      <c r="H466" s="123">
        <f t="shared" si="169"/>
        <v>0</v>
      </c>
      <c r="I466" s="42"/>
      <c r="J466" s="26">
        <v>0</v>
      </c>
    </row>
    <row r="467" spans="1:10" x14ac:dyDescent="0.2">
      <c r="A467" s="53"/>
      <c r="B467" s="53"/>
      <c r="C467" s="46"/>
      <c r="D467" s="55"/>
      <c r="E467" s="53"/>
      <c r="F467" s="53"/>
      <c r="H467" s="123">
        <f t="shared" si="169"/>
        <v>0</v>
      </c>
      <c r="I467" s="42"/>
      <c r="J467" s="26">
        <v>0</v>
      </c>
    </row>
    <row r="468" spans="1:10" x14ac:dyDescent="0.2">
      <c r="A468" s="53"/>
      <c r="B468" s="53"/>
      <c r="C468" s="46"/>
      <c r="D468" s="55"/>
      <c r="E468" s="53"/>
      <c r="F468" s="53"/>
      <c r="H468" s="123">
        <f t="shared" si="169"/>
        <v>0</v>
      </c>
      <c r="I468" s="42"/>
      <c r="J468" s="26">
        <v>0</v>
      </c>
    </row>
    <row r="469" spans="1:10" x14ac:dyDescent="0.2">
      <c r="A469" s="53"/>
      <c r="B469" s="53"/>
      <c r="C469" s="46"/>
      <c r="D469" s="55"/>
      <c r="E469" s="53"/>
      <c r="F469" s="53"/>
      <c r="H469" s="123">
        <f t="shared" si="169"/>
        <v>0</v>
      </c>
      <c r="I469" s="42"/>
      <c r="J469" s="26">
        <v>0</v>
      </c>
    </row>
    <row r="470" spans="1:10" x14ac:dyDescent="0.2">
      <c r="A470" s="53"/>
      <c r="B470" s="53"/>
      <c r="C470" s="46"/>
      <c r="D470" s="55"/>
      <c r="E470" s="53"/>
      <c r="F470" s="53"/>
      <c r="H470" s="123">
        <f t="shared" si="169"/>
        <v>0</v>
      </c>
      <c r="I470" s="42"/>
      <c r="J470" s="26">
        <v>0</v>
      </c>
    </row>
    <row r="471" spans="1:10" x14ac:dyDescent="0.2">
      <c r="A471" s="53"/>
      <c r="B471" s="53"/>
      <c r="C471" s="46"/>
      <c r="D471" s="55"/>
      <c r="E471" s="53"/>
      <c r="F471" s="53"/>
      <c r="H471" s="123">
        <f t="shared" si="169"/>
        <v>0</v>
      </c>
      <c r="I471" s="42"/>
      <c r="J471" s="26">
        <v>0</v>
      </c>
    </row>
    <row r="472" spans="1:10" x14ac:dyDescent="0.2">
      <c r="A472" s="53"/>
      <c r="B472" s="53"/>
      <c r="C472" s="46"/>
      <c r="D472" s="55"/>
      <c r="E472" s="53"/>
      <c r="F472" s="53"/>
      <c r="H472" s="123">
        <f t="shared" si="169"/>
        <v>0</v>
      </c>
      <c r="I472" s="42"/>
      <c r="J472" s="26">
        <v>0</v>
      </c>
    </row>
    <row r="473" spans="1:10" x14ac:dyDescent="0.2">
      <c r="A473" s="53"/>
      <c r="B473" s="53"/>
      <c r="C473" s="46"/>
      <c r="D473" s="55"/>
      <c r="E473" s="53"/>
      <c r="F473" s="53"/>
      <c r="H473" s="123">
        <f t="shared" si="169"/>
        <v>0</v>
      </c>
      <c r="I473" s="42"/>
      <c r="J473" s="26">
        <v>0</v>
      </c>
    </row>
    <row r="474" spans="1:10" x14ac:dyDescent="0.2">
      <c r="A474" s="53"/>
      <c r="B474" s="53"/>
      <c r="C474" s="46"/>
      <c r="D474" s="55"/>
      <c r="E474" s="53"/>
      <c r="F474" s="53"/>
      <c r="H474" s="123">
        <f t="shared" si="169"/>
        <v>0</v>
      </c>
      <c r="I474" s="42"/>
      <c r="J474" s="26">
        <v>0</v>
      </c>
    </row>
    <row r="475" spans="1:10" x14ac:dyDescent="0.2">
      <c r="A475" s="53"/>
      <c r="B475" s="53"/>
      <c r="C475" s="46"/>
      <c r="D475" s="55"/>
      <c r="E475" s="53"/>
      <c r="F475" s="53"/>
      <c r="H475" s="123">
        <f t="shared" si="169"/>
        <v>0</v>
      </c>
      <c r="I475" s="42"/>
      <c r="J475" s="26">
        <v>0</v>
      </c>
    </row>
    <row r="476" spans="1:10" x14ac:dyDescent="0.2">
      <c r="A476" s="53"/>
      <c r="B476" s="53"/>
      <c r="C476" s="46"/>
      <c r="D476" s="55"/>
      <c r="E476" s="53"/>
      <c r="F476" s="53"/>
      <c r="H476" s="123">
        <f t="shared" si="169"/>
        <v>0</v>
      </c>
      <c r="I476" s="42"/>
      <c r="J476" s="26">
        <v>0</v>
      </c>
    </row>
    <row r="477" spans="1:10" x14ac:dyDescent="0.2">
      <c r="A477" s="53"/>
      <c r="B477" s="53"/>
      <c r="C477" s="46"/>
      <c r="D477" s="55"/>
      <c r="E477" s="53"/>
      <c r="F477" s="53"/>
      <c r="H477" s="123">
        <f t="shared" si="169"/>
        <v>0</v>
      </c>
      <c r="I477" s="42"/>
      <c r="J477" s="26">
        <v>0</v>
      </c>
    </row>
    <row r="478" spans="1:10" x14ac:dyDescent="0.2">
      <c r="A478" s="53"/>
      <c r="B478" s="53"/>
      <c r="C478" s="46"/>
      <c r="D478" s="55"/>
      <c r="E478" s="53"/>
      <c r="F478" s="53"/>
      <c r="H478" s="123">
        <f t="shared" si="169"/>
        <v>0</v>
      </c>
      <c r="I478" s="42"/>
      <c r="J478" s="26">
        <v>0</v>
      </c>
    </row>
    <row r="479" spans="1:10" x14ac:dyDescent="0.2">
      <c r="A479" s="53"/>
      <c r="B479" s="53"/>
      <c r="C479" s="46"/>
      <c r="D479" s="55"/>
      <c r="E479" s="53"/>
      <c r="F479" s="53"/>
      <c r="H479" s="123">
        <f t="shared" ref="H479:H542" si="170">E479+G479</f>
        <v>0</v>
      </c>
      <c r="I479" s="42"/>
      <c r="J479" s="26">
        <v>0</v>
      </c>
    </row>
    <row r="480" spans="1:10" x14ac:dyDescent="0.2">
      <c r="A480" s="53"/>
      <c r="B480" s="53"/>
      <c r="C480" s="46"/>
      <c r="D480" s="55"/>
      <c r="E480" s="53"/>
      <c r="F480" s="53"/>
      <c r="H480" s="123">
        <f t="shared" si="170"/>
        <v>0</v>
      </c>
      <c r="I480" s="42"/>
      <c r="J480" s="26">
        <v>0</v>
      </c>
    </row>
    <row r="481" spans="1:10" x14ac:dyDescent="0.2">
      <c r="A481" s="53"/>
      <c r="B481" s="53"/>
      <c r="C481" s="46"/>
      <c r="D481" s="55"/>
      <c r="E481" s="53"/>
      <c r="F481" s="53"/>
      <c r="H481" s="123">
        <f t="shared" si="170"/>
        <v>0</v>
      </c>
      <c r="I481" s="42"/>
      <c r="J481" s="26">
        <v>0</v>
      </c>
    </row>
    <row r="482" spans="1:10" x14ac:dyDescent="0.2">
      <c r="A482" s="53"/>
      <c r="B482" s="53"/>
      <c r="C482" s="46"/>
      <c r="D482" s="55"/>
      <c r="E482" s="53"/>
      <c r="F482" s="53"/>
      <c r="H482" s="123">
        <f t="shared" si="170"/>
        <v>0</v>
      </c>
      <c r="I482" s="42"/>
      <c r="J482" s="26">
        <v>0</v>
      </c>
    </row>
    <row r="483" spans="1:10" x14ac:dyDescent="0.2">
      <c r="A483" s="53"/>
      <c r="B483" s="53"/>
      <c r="C483" s="46"/>
      <c r="D483" s="55"/>
      <c r="E483" s="53"/>
      <c r="F483" s="53"/>
      <c r="H483" s="123">
        <f t="shared" si="170"/>
        <v>0</v>
      </c>
      <c r="I483" s="42"/>
      <c r="J483" s="26">
        <v>0</v>
      </c>
    </row>
    <row r="484" spans="1:10" x14ac:dyDescent="0.2">
      <c r="A484" s="53"/>
      <c r="B484" s="53"/>
      <c r="C484" s="46"/>
      <c r="D484" s="55"/>
      <c r="E484" s="53"/>
      <c r="F484" s="53"/>
      <c r="H484" s="123">
        <f t="shared" si="170"/>
        <v>0</v>
      </c>
      <c r="I484" s="42"/>
      <c r="J484" s="26">
        <v>0</v>
      </c>
    </row>
    <row r="485" spans="1:10" x14ac:dyDescent="0.2">
      <c r="A485" s="53"/>
      <c r="B485" s="53"/>
      <c r="C485" s="46"/>
      <c r="D485" s="55"/>
      <c r="E485" s="53"/>
      <c r="F485" s="53"/>
      <c r="H485" s="123">
        <f t="shared" si="170"/>
        <v>0</v>
      </c>
      <c r="I485" s="42"/>
      <c r="J485" s="26">
        <v>0</v>
      </c>
    </row>
    <row r="486" spans="1:10" x14ac:dyDescent="0.2">
      <c r="A486" s="53"/>
      <c r="B486" s="53"/>
      <c r="C486" s="46"/>
      <c r="D486" s="55"/>
      <c r="E486" s="53"/>
      <c r="F486" s="53"/>
      <c r="H486" s="123">
        <f t="shared" si="170"/>
        <v>0</v>
      </c>
      <c r="I486" s="42"/>
      <c r="J486" s="26">
        <v>0</v>
      </c>
    </row>
    <row r="487" spans="1:10" x14ac:dyDescent="0.2">
      <c r="A487" s="53"/>
      <c r="B487" s="53"/>
      <c r="C487" s="46"/>
      <c r="D487" s="55"/>
      <c r="E487" s="53"/>
      <c r="F487" s="53"/>
      <c r="H487" s="123">
        <f t="shared" si="170"/>
        <v>0</v>
      </c>
      <c r="I487" s="42"/>
      <c r="J487" s="26">
        <v>0</v>
      </c>
    </row>
    <row r="488" spans="1:10" x14ac:dyDescent="0.2">
      <c r="A488" s="53"/>
      <c r="B488" s="53"/>
      <c r="C488" s="46"/>
      <c r="D488" s="55"/>
      <c r="E488" s="53"/>
      <c r="F488" s="53"/>
      <c r="H488" s="123">
        <f t="shared" si="170"/>
        <v>0</v>
      </c>
      <c r="I488" s="42"/>
      <c r="J488" s="26">
        <v>0</v>
      </c>
    </row>
    <row r="489" spans="1:10" x14ac:dyDescent="0.2">
      <c r="A489" s="53"/>
      <c r="B489" s="53"/>
      <c r="C489" s="46"/>
      <c r="D489" s="55"/>
      <c r="E489" s="53"/>
      <c r="F489" s="53"/>
      <c r="H489" s="123">
        <f t="shared" si="170"/>
        <v>0</v>
      </c>
      <c r="I489" s="42"/>
      <c r="J489" s="26">
        <v>0</v>
      </c>
    </row>
    <row r="490" spans="1:10" x14ac:dyDescent="0.2">
      <c r="A490" s="53"/>
      <c r="B490" s="53"/>
      <c r="C490" s="46"/>
      <c r="D490" s="55"/>
      <c r="E490" s="53"/>
      <c r="F490" s="53"/>
      <c r="H490" s="123">
        <f t="shared" si="170"/>
        <v>0</v>
      </c>
      <c r="I490" s="42"/>
      <c r="J490" s="26">
        <v>0</v>
      </c>
    </row>
    <row r="491" spans="1:10" x14ac:dyDescent="0.2">
      <c r="A491" s="53"/>
      <c r="B491" s="53"/>
      <c r="C491" s="46"/>
      <c r="D491" s="55"/>
      <c r="E491" s="53"/>
      <c r="F491" s="53"/>
      <c r="H491" s="123">
        <f t="shared" si="170"/>
        <v>0</v>
      </c>
      <c r="I491" s="42"/>
      <c r="J491" s="26">
        <v>0</v>
      </c>
    </row>
    <row r="492" spans="1:10" x14ac:dyDescent="0.2">
      <c r="A492" s="53"/>
      <c r="B492" s="53"/>
      <c r="C492" s="46"/>
      <c r="D492" s="55"/>
      <c r="E492" s="53"/>
      <c r="F492" s="53"/>
      <c r="H492" s="123">
        <f t="shared" si="170"/>
        <v>0</v>
      </c>
      <c r="I492" s="42"/>
      <c r="J492" s="26">
        <v>0</v>
      </c>
    </row>
    <row r="493" spans="1:10" x14ac:dyDescent="0.2">
      <c r="A493" s="53"/>
      <c r="B493" s="53"/>
      <c r="C493" s="46"/>
      <c r="D493" s="55"/>
      <c r="E493" s="53"/>
      <c r="F493" s="53"/>
      <c r="H493" s="123">
        <f t="shared" si="170"/>
        <v>0</v>
      </c>
      <c r="I493" s="42"/>
      <c r="J493" s="26">
        <v>0</v>
      </c>
    </row>
    <row r="494" spans="1:10" x14ac:dyDescent="0.2">
      <c r="A494" s="53"/>
      <c r="B494" s="53"/>
      <c r="C494" s="46"/>
      <c r="D494" s="55"/>
      <c r="E494" s="53"/>
      <c r="F494" s="53"/>
      <c r="H494" s="123">
        <f t="shared" si="170"/>
        <v>0</v>
      </c>
      <c r="I494" s="42"/>
      <c r="J494" s="26">
        <v>0</v>
      </c>
    </row>
    <row r="495" spans="1:10" x14ac:dyDescent="0.2">
      <c r="A495" s="53"/>
      <c r="B495" s="53"/>
      <c r="C495" s="46"/>
      <c r="D495" s="55"/>
      <c r="E495" s="53"/>
      <c r="F495" s="53"/>
      <c r="H495" s="123">
        <f t="shared" si="170"/>
        <v>0</v>
      </c>
      <c r="I495" s="42"/>
      <c r="J495" s="26">
        <v>0</v>
      </c>
    </row>
    <row r="496" spans="1:10" x14ac:dyDescent="0.2">
      <c r="A496" s="53"/>
      <c r="B496" s="53"/>
      <c r="C496" s="46"/>
      <c r="D496" s="55"/>
      <c r="E496" s="53"/>
      <c r="F496" s="53"/>
      <c r="H496" s="123">
        <f t="shared" si="170"/>
        <v>0</v>
      </c>
      <c r="I496" s="42"/>
      <c r="J496" s="26">
        <v>0</v>
      </c>
    </row>
    <row r="497" spans="1:10" x14ac:dyDescent="0.2">
      <c r="A497" s="53"/>
      <c r="B497" s="53"/>
      <c r="C497" s="46"/>
      <c r="D497" s="55"/>
      <c r="E497" s="53"/>
      <c r="F497" s="53"/>
      <c r="H497" s="123">
        <f t="shared" si="170"/>
        <v>0</v>
      </c>
      <c r="I497" s="42"/>
      <c r="J497" s="26">
        <v>0</v>
      </c>
    </row>
    <row r="498" spans="1:10" x14ac:dyDescent="0.2">
      <c r="A498" s="53"/>
      <c r="B498" s="53"/>
      <c r="C498" s="46"/>
      <c r="D498" s="55"/>
      <c r="E498" s="53"/>
      <c r="F498" s="53"/>
      <c r="H498" s="123">
        <f t="shared" si="170"/>
        <v>0</v>
      </c>
      <c r="I498" s="42"/>
      <c r="J498" s="26">
        <v>0</v>
      </c>
    </row>
    <row r="499" spans="1:10" x14ac:dyDescent="0.2">
      <c r="A499" s="53"/>
      <c r="B499" s="53"/>
      <c r="C499" s="46"/>
      <c r="D499" s="55"/>
      <c r="E499" s="53"/>
      <c r="F499" s="53"/>
      <c r="H499" s="123">
        <f t="shared" si="170"/>
        <v>0</v>
      </c>
      <c r="I499" s="42"/>
      <c r="J499" s="26">
        <v>0</v>
      </c>
    </row>
    <row r="500" spans="1:10" x14ac:dyDescent="0.2">
      <c r="A500" s="53"/>
      <c r="B500" s="53"/>
      <c r="C500" s="46"/>
      <c r="D500" s="55"/>
      <c r="E500" s="53"/>
      <c r="F500" s="53"/>
      <c r="H500" s="123">
        <f t="shared" si="170"/>
        <v>0</v>
      </c>
      <c r="I500" s="42"/>
      <c r="J500" s="26">
        <v>0</v>
      </c>
    </row>
    <row r="501" spans="1:10" x14ac:dyDescent="0.2">
      <c r="A501" s="53"/>
      <c r="B501" s="53"/>
      <c r="C501" s="46"/>
      <c r="D501" s="55"/>
      <c r="E501" s="53"/>
      <c r="F501" s="53"/>
      <c r="H501" s="123">
        <f t="shared" si="170"/>
        <v>0</v>
      </c>
      <c r="I501" s="42"/>
      <c r="J501" s="26">
        <v>0</v>
      </c>
    </row>
    <row r="502" spans="1:10" x14ac:dyDescent="0.2">
      <c r="A502" s="53"/>
      <c r="B502" s="53"/>
      <c r="C502" s="46"/>
      <c r="D502" s="55"/>
      <c r="E502" s="53"/>
      <c r="F502" s="53"/>
      <c r="H502" s="123">
        <f t="shared" si="170"/>
        <v>0</v>
      </c>
      <c r="I502" s="42"/>
      <c r="J502" s="26">
        <v>0</v>
      </c>
    </row>
    <row r="503" spans="1:10" x14ac:dyDescent="0.2">
      <c r="A503" s="53"/>
      <c r="B503" s="53"/>
      <c r="C503" s="46"/>
      <c r="D503" s="55"/>
      <c r="E503" s="53"/>
      <c r="F503" s="53"/>
      <c r="H503" s="123">
        <f t="shared" si="170"/>
        <v>0</v>
      </c>
      <c r="I503" s="42"/>
      <c r="J503" s="26">
        <v>0</v>
      </c>
    </row>
    <row r="504" spans="1:10" x14ac:dyDescent="0.2">
      <c r="A504" s="53"/>
      <c r="B504" s="53"/>
      <c r="C504" s="46"/>
      <c r="D504" s="55"/>
      <c r="E504" s="53"/>
      <c r="F504" s="53"/>
      <c r="H504" s="123">
        <f t="shared" si="170"/>
        <v>0</v>
      </c>
      <c r="I504" s="42"/>
      <c r="J504" s="26">
        <v>0</v>
      </c>
    </row>
    <row r="505" spans="1:10" x14ac:dyDescent="0.2">
      <c r="A505" s="53"/>
      <c r="B505" s="53"/>
      <c r="C505" s="46"/>
      <c r="D505" s="55"/>
      <c r="E505" s="53"/>
      <c r="F505" s="53"/>
      <c r="H505" s="123">
        <f t="shared" si="170"/>
        <v>0</v>
      </c>
      <c r="I505" s="42"/>
      <c r="J505" s="26">
        <v>0</v>
      </c>
    </row>
    <row r="506" spans="1:10" x14ac:dyDescent="0.2">
      <c r="A506" s="53"/>
      <c r="B506" s="53"/>
      <c r="C506" s="46"/>
      <c r="D506" s="55"/>
      <c r="E506" s="53"/>
      <c r="F506" s="53"/>
      <c r="H506" s="123">
        <f t="shared" si="170"/>
        <v>0</v>
      </c>
      <c r="I506" s="42"/>
      <c r="J506" s="26">
        <v>0</v>
      </c>
    </row>
    <row r="507" spans="1:10" x14ac:dyDescent="0.2">
      <c r="A507" s="53"/>
      <c r="B507" s="53"/>
      <c r="C507" s="46"/>
      <c r="D507" s="55"/>
      <c r="E507" s="53"/>
      <c r="F507" s="53"/>
      <c r="H507" s="123">
        <f t="shared" si="170"/>
        <v>0</v>
      </c>
      <c r="I507" s="42"/>
      <c r="J507" s="26">
        <v>0</v>
      </c>
    </row>
    <row r="508" spans="1:10" x14ac:dyDescent="0.2">
      <c r="A508" s="53"/>
      <c r="B508" s="53"/>
      <c r="C508" s="46"/>
      <c r="D508" s="55"/>
      <c r="E508" s="53"/>
      <c r="F508" s="53"/>
      <c r="H508" s="123">
        <f t="shared" si="170"/>
        <v>0</v>
      </c>
      <c r="I508" s="42"/>
      <c r="J508" s="26">
        <v>0</v>
      </c>
    </row>
    <row r="509" spans="1:10" x14ac:dyDescent="0.2">
      <c r="A509" s="53"/>
      <c r="B509" s="53"/>
      <c r="C509" s="46"/>
      <c r="D509" s="55"/>
      <c r="E509" s="53"/>
      <c r="F509" s="53"/>
      <c r="H509" s="123">
        <f t="shared" si="170"/>
        <v>0</v>
      </c>
      <c r="I509" s="42"/>
      <c r="J509" s="26">
        <v>0</v>
      </c>
    </row>
    <row r="510" spans="1:10" x14ac:dyDescent="0.2">
      <c r="A510" s="53"/>
      <c r="B510" s="53"/>
      <c r="C510" s="46"/>
      <c r="D510" s="55"/>
      <c r="E510" s="53"/>
      <c r="F510" s="53"/>
      <c r="H510" s="123">
        <f t="shared" si="170"/>
        <v>0</v>
      </c>
      <c r="I510" s="42"/>
      <c r="J510" s="26">
        <v>0</v>
      </c>
    </row>
    <row r="511" spans="1:10" x14ac:dyDescent="0.2">
      <c r="A511" s="53"/>
      <c r="B511" s="53"/>
      <c r="C511" s="46"/>
      <c r="D511" s="55"/>
      <c r="E511" s="53"/>
      <c r="F511" s="53"/>
      <c r="H511" s="123">
        <f t="shared" si="170"/>
        <v>0</v>
      </c>
      <c r="I511" s="42"/>
      <c r="J511" s="26">
        <v>0</v>
      </c>
    </row>
    <row r="512" spans="1:10" x14ac:dyDescent="0.2">
      <c r="A512" s="53"/>
      <c r="B512" s="53"/>
      <c r="C512" s="46"/>
      <c r="D512" s="55"/>
      <c r="E512" s="53"/>
      <c r="F512" s="53"/>
      <c r="H512" s="123">
        <f t="shared" si="170"/>
        <v>0</v>
      </c>
      <c r="I512" s="42"/>
      <c r="J512" s="26">
        <v>0</v>
      </c>
    </row>
    <row r="513" spans="1:10" x14ac:dyDescent="0.2">
      <c r="A513" s="53"/>
      <c r="B513" s="53"/>
      <c r="C513" s="46"/>
      <c r="D513" s="55"/>
      <c r="E513" s="53"/>
      <c r="F513" s="53"/>
      <c r="H513" s="123">
        <f t="shared" si="170"/>
        <v>0</v>
      </c>
      <c r="I513" s="42"/>
      <c r="J513" s="26">
        <v>0</v>
      </c>
    </row>
    <row r="514" spans="1:10" x14ac:dyDescent="0.2">
      <c r="A514" s="53"/>
      <c r="B514" s="53"/>
      <c r="C514" s="46"/>
      <c r="D514" s="55"/>
      <c r="E514" s="53"/>
      <c r="F514" s="53"/>
      <c r="H514" s="123">
        <f t="shared" si="170"/>
        <v>0</v>
      </c>
      <c r="I514" s="42"/>
      <c r="J514" s="26">
        <v>0</v>
      </c>
    </row>
    <row r="515" spans="1:10" x14ac:dyDescent="0.2">
      <c r="A515" s="53"/>
      <c r="B515" s="53"/>
      <c r="C515" s="46"/>
      <c r="D515" s="55"/>
      <c r="E515" s="53"/>
      <c r="F515" s="53"/>
      <c r="H515" s="123">
        <f t="shared" si="170"/>
        <v>0</v>
      </c>
      <c r="I515" s="42"/>
      <c r="J515" s="26">
        <v>0</v>
      </c>
    </row>
    <row r="516" spans="1:10" x14ac:dyDescent="0.2">
      <c r="A516" s="53"/>
      <c r="B516" s="53"/>
      <c r="C516" s="46"/>
      <c r="D516" s="55"/>
      <c r="E516" s="53"/>
      <c r="F516" s="53"/>
      <c r="H516" s="123">
        <f t="shared" si="170"/>
        <v>0</v>
      </c>
      <c r="I516" s="42"/>
      <c r="J516" s="26">
        <v>0</v>
      </c>
    </row>
    <row r="517" spans="1:10" x14ac:dyDescent="0.2">
      <c r="A517" s="53"/>
      <c r="B517" s="53"/>
      <c r="C517" s="46"/>
      <c r="D517" s="55"/>
      <c r="E517" s="53"/>
      <c r="F517" s="53"/>
      <c r="H517" s="123">
        <f t="shared" si="170"/>
        <v>0</v>
      </c>
      <c r="I517" s="42"/>
      <c r="J517" s="26">
        <v>0</v>
      </c>
    </row>
    <row r="518" spans="1:10" x14ac:dyDescent="0.2">
      <c r="A518" s="53"/>
      <c r="B518" s="53"/>
      <c r="C518" s="46"/>
      <c r="D518" s="55"/>
      <c r="E518" s="53"/>
      <c r="F518" s="53"/>
      <c r="H518" s="123">
        <f t="shared" si="170"/>
        <v>0</v>
      </c>
      <c r="I518" s="42"/>
      <c r="J518" s="26">
        <v>0</v>
      </c>
    </row>
    <row r="519" spans="1:10" x14ac:dyDescent="0.2">
      <c r="A519" s="53"/>
      <c r="B519" s="53"/>
      <c r="C519" s="46"/>
      <c r="D519" s="55"/>
      <c r="E519" s="53"/>
      <c r="F519" s="53"/>
      <c r="H519" s="123">
        <f t="shared" si="170"/>
        <v>0</v>
      </c>
      <c r="I519" s="42"/>
      <c r="J519" s="26">
        <v>0</v>
      </c>
    </row>
    <row r="520" spans="1:10" x14ac:dyDescent="0.2">
      <c r="A520" s="53"/>
      <c r="B520" s="53"/>
      <c r="C520" s="46"/>
      <c r="D520" s="55"/>
      <c r="E520" s="53"/>
      <c r="F520" s="53"/>
      <c r="H520" s="123">
        <f t="shared" si="170"/>
        <v>0</v>
      </c>
      <c r="I520" s="42"/>
      <c r="J520" s="26">
        <v>0</v>
      </c>
    </row>
    <row r="521" spans="1:10" x14ac:dyDescent="0.2">
      <c r="A521" s="53"/>
      <c r="B521" s="53"/>
      <c r="C521" s="46"/>
      <c r="D521" s="55"/>
      <c r="E521" s="53"/>
      <c r="F521" s="53"/>
      <c r="H521" s="123">
        <f t="shared" si="170"/>
        <v>0</v>
      </c>
      <c r="I521" s="42"/>
      <c r="J521" s="26">
        <v>0</v>
      </c>
    </row>
    <row r="522" spans="1:10" x14ac:dyDescent="0.2">
      <c r="A522" s="53"/>
      <c r="B522" s="53"/>
      <c r="C522" s="46"/>
      <c r="D522" s="55"/>
      <c r="E522" s="53"/>
      <c r="F522" s="53"/>
      <c r="H522" s="123">
        <f t="shared" si="170"/>
        <v>0</v>
      </c>
      <c r="I522" s="42"/>
      <c r="J522" s="26">
        <v>0</v>
      </c>
    </row>
    <row r="523" spans="1:10" x14ac:dyDescent="0.2">
      <c r="A523" s="53"/>
      <c r="B523" s="53"/>
      <c r="C523" s="46"/>
      <c r="D523" s="55"/>
      <c r="E523" s="53"/>
      <c r="F523" s="53"/>
      <c r="H523" s="123">
        <f t="shared" si="170"/>
        <v>0</v>
      </c>
      <c r="I523" s="42"/>
      <c r="J523" s="26">
        <v>0</v>
      </c>
    </row>
    <row r="524" spans="1:10" x14ac:dyDescent="0.2">
      <c r="A524" s="53"/>
      <c r="B524" s="53"/>
      <c r="C524" s="46"/>
      <c r="D524" s="55"/>
      <c r="E524" s="53"/>
      <c r="F524" s="53"/>
      <c r="H524" s="123">
        <f t="shared" si="170"/>
        <v>0</v>
      </c>
      <c r="I524" s="42"/>
      <c r="J524" s="26">
        <v>0</v>
      </c>
    </row>
    <row r="525" spans="1:10" x14ac:dyDescent="0.2">
      <c r="A525" s="53"/>
      <c r="B525" s="53"/>
      <c r="C525" s="46"/>
      <c r="D525" s="55"/>
      <c r="E525" s="53"/>
      <c r="F525" s="53"/>
      <c r="H525" s="123">
        <f t="shared" si="170"/>
        <v>0</v>
      </c>
      <c r="I525" s="42"/>
      <c r="J525" s="26">
        <v>0</v>
      </c>
    </row>
    <row r="526" spans="1:10" x14ac:dyDescent="0.2">
      <c r="A526" s="53"/>
      <c r="B526" s="53"/>
      <c r="C526" s="46"/>
      <c r="D526" s="55"/>
      <c r="E526" s="53"/>
      <c r="F526" s="53"/>
      <c r="H526" s="123">
        <f t="shared" si="170"/>
        <v>0</v>
      </c>
      <c r="I526" s="42"/>
      <c r="J526" s="26">
        <v>0</v>
      </c>
    </row>
    <row r="527" spans="1:10" x14ac:dyDescent="0.2">
      <c r="A527" s="53"/>
      <c r="B527" s="53"/>
      <c r="C527" s="46"/>
      <c r="D527" s="55"/>
      <c r="E527" s="53"/>
      <c r="F527" s="53"/>
      <c r="H527" s="123">
        <f t="shared" si="170"/>
        <v>0</v>
      </c>
      <c r="I527" s="42"/>
      <c r="J527" s="26">
        <v>0</v>
      </c>
    </row>
    <row r="528" spans="1:10" x14ac:dyDescent="0.2">
      <c r="A528" s="53"/>
      <c r="B528" s="53"/>
      <c r="C528" s="46"/>
      <c r="D528" s="55"/>
      <c r="E528" s="53"/>
      <c r="F528" s="53"/>
      <c r="H528" s="123">
        <f t="shared" si="170"/>
        <v>0</v>
      </c>
      <c r="I528" s="42"/>
      <c r="J528" s="26">
        <v>0</v>
      </c>
    </row>
    <row r="529" spans="1:10" x14ac:dyDescent="0.2">
      <c r="A529" s="53"/>
      <c r="B529" s="53"/>
      <c r="C529" s="46"/>
      <c r="D529" s="55"/>
      <c r="E529" s="53"/>
      <c r="F529" s="53"/>
      <c r="H529" s="123">
        <f t="shared" si="170"/>
        <v>0</v>
      </c>
      <c r="I529" s="42"/>
      <c r="J529" s="26">
        <v>0</v>
      </c>
    </row>
    <row r="530" spans="1:10" x14ac:dyDescent="0.2">
      <c r="A530" s="53"/>
      <c r="B530" s="53"/>
      <c r="C530" s="46"/>
      <c r="D530" s="55"/>
      <c r="E530" s="53"/>
      <c r="F530" s="53"/>
      <c r="H530" s="123">
        <f t="shared" si="170"/>
        <v>0</v>
      </c>
      <c r="I530" s="42"/>
      <c r="J530" s="26">
        <v>0</v>
      </c>
    </row>
    <row r="531" spans="1:10" x14ac:dyDescent="0.2">
      <c r="A531" s="53"/>
      <c r="B531" s="53"/>
      <c r="C531" s="46"/>
      <c r="D531" s="55"/>
      <c r="E531" s="53"/>
      <c r="F531" s="53"/>
      <c r="H531" s="123">
        <f t="shared" si="170"/>
        <v>0</v>
      </c>
      <c r="I531" s="42"/>
      <c r="J531" s="26">
        <v>0</v>
      </c>
    </row>
    <row r="532" spans="1:10" x14ac:dyDescent="0.2">
      <c r="A532" s="53"/>
      <c r="B532" s="53"/>
      <c r="C532" s="46"/>
      <c r="D532" s="55"/>
      <c r="E532" s="53"/>
      <c r="F532" s="53"/>
      <c r="H532" s="123">
        <f t="shared" si="170"/>
        <v>0</v>
      </c>
      <c r="I532" s="42"/>
      <c r="J532" s="26">
        <v>0</v>
      </c>
    </row>
    <row r="533" spans="1:10" x14ac:dyDescent="0.2">
      <c r="A533" s="53"/>
      <c r="B533" s="53"/>
      <c r="C533" s="46"/>
      <c r="D533" s="55"/>
      <c r="E533" s="53"/>
      <c r="F533" s="53"/>
      <c r="H533" s="123">
        <f t="shared" si="170"/>
        <v>0</v>
      </c>
      <c r="I533" s="42"/>
      <c r="J533" s="26">
        <v>0</v>
      </c>
    </row>
    <row r="534" spans="1:10" x14ac:dyDescent="0.2">
      <c r="A534" s="53"/>
      <c r="B534" s="53"/>
      <c r="C534" s="46"/>
      <c r="D534" s="55"/>
      <c r="E534" s="53"/>
      <c r="F534" s="53"/>
      <c r="H534" s="123">
        <f t="shared" si="170"/>
        <v>0</v>
      </c>
      <c r="I534" s="42"/>
      <c r="J534" s="26">
        <v>0</v>
      </c>
    </row>
    <row r="535" spans="1:10" x14ac:dyDescent="0.2">
      <c r="A535" s="53"/>
      <c r="B535" s="53"/>
      <c r="C535" s="46"/>
      <c r="D535" s="55"/>
      <c r="E535" s="53"/>
      <c r="F535" s="53"/>
      <c r="H535" s="123">
        <f t="shared" si="170"/>
        <v>0</v>
      </c>
      <c r="I535" s="42"/>
      <c r="J535" s="26">
        <v>0</v>
      </c>
    </row>
    <row r="536" spans="1:10" x14ac:dyDescent="0.2">
      <c r="A536" s="53"/>
      <c r="B536" s="53"/>
      <c r="C536" s="46"/>
      <c r="D536" s="55"/>
      <c r="E536" s="53"/>
      <c r="F536" s="53"/>
      <c r="H536" s="123">
        <f t="shared" si="170"/>
        <v>0</v>
      </c>
      <c r="I536" s="42"/>
      <c r="J536" s="26">
        <v>0</v>
      </c>
    </row>
    <row r="537" spans="1:10" x14ac:dyDescent="0.2">
      <c r="A537" s="53"/>
      <c r="B537" s="53"/>
      <c r="C537" s="46"/>
      <c r="D537" s="55"/>
      <c r="E537" s="53"/>
      <c r="F537" s="53"/>
      <c r="H537" s="123">
        <f t="shared" si="170"/>
        <v>0</v>
      </c>
      <c r="I537" s="42"/>
      <c r="J537" s="26">
        <v>0</v>
      </c>
    </row>
    <row r="538" spans="1:10" x14ac:dyDescent="0.2">
      <c r="A538" s="53"/>
      <c r="B538" s="53"/>
      <c r="C538" s="46"/>
      <c r="D538" s="55"/>
      <c r="E538" s="53"/>
      <c r="F538" s="53"/>
      <c r="H538" s="123">
        <f t="shared" si="170"/>
        <v>0</v>
      </c>
      <c r="I538" s="42"/>
      <c r="J538" s="26">
        <v>0</v>
      </c>
    </row>
    <row r="539" spans="1:10" x14ac:dyDescent="0.2">
      <c r="A539" s="53"/>
      <c r="B539" s="53"/>
      <c r="C539" s="46"/>
      <c r="D539" s="55"/>
      <c r="E539" s="53"/>
      <c r="F539" s="53"/>
      <c r="H539" s="123">
        <f t="shared" si="170"/>
        <v>0</v>
      </c>
      <c r="I539" s="42"/>
      <c r="J539" s="26">
        <v>0</v>
      </c>
    </row>
    <row r="540" spans="1:10" x14ac:dyDescent="0.2">
      <c r="A540" s="53"/>
      <c r="B540" s="53"/>
      <c r="C540" s="46"/>
      <c r="D540" s="55"/>
      <c r="E540" s="53"/>
      <c r="F540" s="53"/>
      <c r="H540" s="123">
        <f t="shared" si="170"/>
        <v>0</v>
      </c>
      <c r="I540" s="42"/>
      <c r="J540" s="26">
        <v>0</v>
      </c>
    </row>
    <row r="541" spans="1:10" x14ac:dyDescent="0.2">
      <c r="A541" s="53"/>
      <c r="B541" s="53"/>
      <c r="C541" s="46"/>
      <c r="D541" s="55"/>
      <c r="E541" s="53"/>
      <c r="F541" s="53"/>
      <c r="H541" s="123">
        <f t="shared" si="170"/>
        <v>0</v>
      </c>
      <c r="I541" s="42"/>
      <c r="J541" s="26">
        <v>0</v>
      </c>
    </row>
    <row r="542" spans="1:10" x14ac:dyDescent="0.2">
      <c r="A542" s="53"/>
      <c r="B542" s="53"/>
      <c r="C542" s="46"/>
      <c r="D542" s="55"/>
      <c r="E542" s="53"/>
      <c r="F542" s="53"/>
      <c r="H542" s="123">
        <f t="shared" si="170"/>
        <v>0</v>
      </c>
      <c r="I542" s="42"/>
      <c r="J542" s="26">
        <v>0</v>
      </c>
    </row>
    <row r="543" spans="1:10" x14ac:dyDescent="0.2">
      <c r="A543" s="53"/>
      <c r="B543" s="53"/>
      <c r="C543" s="46"/>
      <c r="D543" s="55"/>
      <c r="E543" s="53"/>
      <c r="F543" s="53"/>
      <c r="H543" s="123">
        <f t="shared" ref="H543:H606" si="171">E543+G543</f>
        <v>0</v>
      </c>
      <c r="I543" s="42"/>
      <c r="J543" s="26">
        <v>0</v>
      </c>
    </row>
    <row r="544" spans="1:10" x14ac:dyDescent="0.2">
      <c r="A544" s="53"/>
      <c r="B544" s="53"/>
      <c r="C544" s="46"/>
      <c r="D544" s="55"/>
      <c r="E544" s="53"/>
      <c r="F544" s="53"/>
      <c r="H544" s="123">
        <f t="shared" si="171"/>
        <v>0</v>
      </c>
      <c r="I544" s="42"/>
      <c r="J544" s="26">
        <v>0</v>
      </c>
    </row>
    <row r="545" spans="1:10" x14ac:dyDescent="0.2">
      <c r="A545" s="53"/>
      <c r="B545" s="53"/>
      <c r="C545" s="46"/>
      <c r="D545" s="55"/>
      <c r="E545" s="53"/>
      <c r="F545" s="53"/>
      <c r="H545" s="123">
        <f t="shared" si="171"/>
        <v>0</v>
      </c>
      <c r="I545" s="42"/>
      <c r="J545" s="26">
        <v>0</v>
      </c>
    </row>
    <row r="546" spans="1:10" x14ac:dyDescent="0.2">
      <c r="A546" s="53"/>
      <c r="B546" s="53"/>
      <c r="C546" s="46"/>
      <c r="D546" s="55"/>
      <c r="E546" s="53"/>
      <c r="F546" s="53"/>
      <c r="H546" s="123">
        <f t="shared" si="171"/>
        <v>0</v>
      </c>
      <c r="I546" s="42"/>
      <c r="J546" s="26">
        <v>0</v>
      </c>
    </row>
    <row r="547" spans="1:10" x14ac:dyDescent="0.2">
      <c r="A547" s="53"/>
      <c r="B547" s="53"/>
      <c r="C547" s="46"/>
      <c r="D547" s="55"/>
      <c r="E547" s="53"/>
      <c r="F547" s="53"/>
      <c r="H547" s="123">
        <f t="shared" si="171"/>
        <v>0</v>
      </c>
      <c r="I547" s="42"/>
      <c r="J547" s="26">
        <v>0</v>
      </c>
    </row>
    <row r="548" spans="1:10" x14ac:dyDescent="0.2">
      <c r="A548" s="53"/>
      <c r="B548" s="53"/>
      <c r="C548" s="46"/>
      <c r="D548" s="55"/>
      <c r="E548" s="53"/>
      <c r="F548" s="53"/>
      <c r="H548" s="123">
        <f t="shared" si="171"/>
        <v>0</v>
      </c>
      <c r="I548" s="42"/>
      <c r="J548" s="26">
        <v>0</v>
      </c>
    </row>
    <row r="549" spans="1:10" x14ac:dyDescent="0.2">
      <c r="A549" s="53"/>
      <c r="B549" s="53"/>
      <c r="C549" s="46"/>
      <c r="D549" s="55"/>
      <c r="E549" s="53"/>
      <c r="F549" s="53"/>
      <c r="H549" s="123">
        <f t="shared" si="171"/>
        <v>0</v>
      </c>
      <c r="I549" s="42"/>
      <c r="J549" s="26">
        <v>0</v>
      </c>
    </row>
    <row r="550" spans="1:10" x14ac:dyDescent="0.2">
      <c r="A550" s="53"/>
      <c r="B550" s="53"/>
      <c r="C550" s="46"/>
      <c r="D550" s="55"/>
      <c r="E550" s="53"/>
      <c r="F550" s="53"/>
      <c r="H550" s="123">
        <f t="shared" si="171"/>
        <v>0</v>
      </c>
      <c r="I550" s="42"/>
      <c r="J550" s="26">
        <v>0</v>
      </c>
    </row>
    <row r="551" spans="1:10" x14ac:dyDescent="0.2">
      <c r="A551" s="53"/>
      <c r="B551" s="53"/>
      <c r="C551" s="46"/>
      <c r="D551" s="55"/>
      <c r="E551" s="53"/>
      <c r="F551" s="53"/>
      <c r="H551" s="123">
        <f t="shared" si="171"/>
        <v>0</v>
      </c>
      <c r="I551" s="42"/>
      <c r="J551" s="26">
        <v>0</v>
      </c>
    </row>
    <row r="552" spans="1:10" x14ac:dyDescent="0.2">
      <c r="A552" s="53"/>
      <c r="B552" s="53"/>
      <c r="C552" s="46"/>
      <c r="D552" s="55"/>
      <c r="E552" s="53"/>
      <c r="F552" s="53"/>
      <c r="H552" s="123">
        <f t="shared" si="171"/>
        <v>0</v>
      </c>
      <c r="I552" s="42"/>
      <c r="J552" s="26">
        <v>0</v>
      </c>
    </row>
    <row r="553" spans="1:10" x14ac:dyDescent="0.2">
      <c r="A553" s="53"/>
      <c r="B553" s="53"/>
      <c r="C553" s="46"/>
      <c r="D553" s="55"/>
      <c r="E553" s="53"/>
      <c r="F553" s="53"/>
      <c r="H553" s="123">
        <f t="shared" si="171"/>
        <v>0</v>
      </c>
      <c r="I553" s="42"/>
      <c r="J553" s="26">
        <v>0</v>
      </c>
    </row>
    <row r="554" spans="1:10" x14ac:dyDescent="0.2">
      <c r="A554" s="53"/>
      <c r="B554" s="53"/>
      <c r="C554" s="46"/>
      <c r="D554" s="55"/>
      <c r="E554" s="53"/>
      <c r="F554" s="53"/>
      <c r="H554" s="123">
        <f t="shared" si="171"/>
        <v>0</v>
      </c>
      <c r="I554" s="42"/>
      <c r="J554" s="26">
        <v>0</v>
      </c>
    </row>
    <row r="555" spans="1:10" x14ac:dyDescent="0.2">
      <c r="A555" s="53"/>
      <c r="B555" s="53"/>
      <c r="C555" s="46"/>
      <c r="D555" s="55"/>
      <c r="E555" s="53"/>
      <c r="F555" s="53"/>
      <c r="H555" s="123">
        <f t="shared" si="171"/>
        <v>0</v>
      </c>
      <c r="I555" s="42"/>
      <c r="J555" s="26">
        <v>0</v>
      </c>
    </row>
    <row r="556" spans="1:10" x14ac:dyDescent="0.2">
      <c r="A556" s="53"/>
      <c r="B556" s="53"/>
      <c r="C556" s="46"/>
      <c r="D556" s="55"/>
      <c r="E556" s="53"/>
      <c r="F556" s="53"/>
      <c r="H556" s="123">
        <f t="shared" si="171"/>
        <v>0</v>
      </c>
      <c r="I556" s="42"/>
      <c r="J556" s="26">
        <v>0</v>
      </c>
    </row>
    <row r="557" spans="1:10" x14ac:dyDescent="0.2">
      <c r="A557" s="53"/>
      <c r="B557" s="53"/>
      <c r="C557" s="46"/>
      <c r="D557" s="55"/>
      <c r="E557" s="53"/>
      <c r="F557" s="53"/>
      <c r="H557" s="123">
        <f t="shared" si="171"/>
        <v>0</v>
      </c>
      <c r="I557" s="42"/>
      <c r="J557" s="26">
        <v>0</v>
      </c>
    </row>
    <row r="558" spans="1:10" x14ac:dyDescent="0.2">
      <c r="A558" s="53"/>
      <c r="B558" s="53"/>
      <c r="C558" s="46"/>
      <c r="D558" s="55"/>
      <c r="E558" s="53"/>
      <c r="F558" s="53"/>
      <c r="H558" s="123">
        <f t="shared" si="171"/>
        <v>0</v>
      </c>
      <c r="I558" s="42"/>
      <c r="J558" s="26">
        <v>0</v>
      </c>
    </row>
    <row r="559" spans="1:10" x14ac:dyDescent="0.2">
      <c r="A559" s="53"/>
      <c r="B559" s="53"/>
      <c r="C559" s="46"/>
      <c r="D559" s="55"/>
      <c r="E559" s="53"/>
      <c r="F559" s="53"/>
      <c r="H559" s="123">
        <f t="shared" si="171"/>
        <v>0</v>
      </c>
      <c r="I559" s="42"/>
      <c r="J559" s="26">
        <v>0</v>
      </c>
    </row>
    <row r="560" spans="1:10" x14ac:dyDescent="0.2">
      <c r="A560" s="53"/>
      <c r="B560" s="53"/>
      <c r="C560" s="46"/>
      <c r="D560" s="55"/>
      <c r="E560" s="53"/>
      <c r="F560" s="53"/>
      <c r="H560" s="123">
        <f t="shared" si="171"/>
        <v>0</v>
      </c>
      <c r="I560" s="42"/>
      <c r="J560" s="26">
        <v>0</v>
      </c>
    </row>
    <row r="561" spans="1:10" x14ac:dyDescent="0.2">
      <c r="A561" s="53"/>
      <c r="B561" s="53"/>
      <c r="C561" s="46"/>
      <c r="D561" s="55"/>
      <c r="E561" s="53"/>
      <c r="F561" s="53"/>
      <c r="H561" s="123">
        <f t="shared" si="171"/>
        <v>0</v>
      </c>
      <c r="I561" s="42"/>
      <c r="J561" s="26">
        <v>0</v>
      </c>
    </row>
    <row r="562" spans="1:10" x14ac:dyDescent="0.2">
      <c r="A562" s="53"/>
      <c r="B562" s="53"/>
      <c r="C562" s="46"/>
      <c r="D562" s="55"/>
      <c r="E562" s="53"/>
      <c r="F562" s="53"/>
      <c r="H562" s="123">
        <f t="shared" si="171"/>
        <v>0</v>
      </c>
      <c r="I562" s="42"/>
      <c r="J562" s="26">
        <v>0</v>
      </c>
    </row>
    <row r="563" spans="1:10" x14ac:dyDescent="0.2">
      <c r="A563" s="53"/>
      <c r="B563" s="53"/>
      <c r="C563" s="46"/>
      <c r="D563" s="55"/>
      <c r="E563" s="53"/>
      <c r="F563" s="53"/>
      <c r="H563" s="123">
        <f t="shared" si="171"/>
        <v>0</v>
      </c>
      <c r="I563" s="42"/>
      <c r="J563" s="26">
        <v>0</v>
      </c>
    </row>
    <row r="564" spans="1:10" x14ac:dyDescent="0.2">
      <c r="A564" s="53"/>
      <c r="B564" s="53"/>
      <c r="C564" s="46"/>
      <c r="D564" s="55"/>
      <c r="E564" s="53"/>
      <c r="F564" s="53"/>
      <c r="H564" s="123">
        <f t="shared" si="171"/>
        <v>0</v>
      </c>
      <c r="I564" s="42"/>
      <c r="J564" s="26">
        <v>0</v>
      </c>
    </row>
    <row r="565" spans="1:10" x14ac:dyDescent="0.2">
      <c r="A565" s="53"/>
      <c r="B565" s="53"/>
      <c r="C565" s="46"/>
      <c r="D565" s="55"/>
      <c r="E565" s="53"/>
      <c r="F565" s="53"/>
      <c r="H565" s="123">
        <f t="shared" si="171"/>
        <v>0</v>
      </c>
      <c r="I565" s="42"/>
      <c r="J565" s="26">
        <v>0</v>
      </c>
    </row>
    <row r="566" spans="1:10" x14ac:dyDescent="0.2">
      <c r="A566" s="53"/>
      <c r="B566" s="53"/>
      <c r="C566" s="46"/>
      <c r="D566" s="55"/>
      <c r="E566" s="53"/>
      <c r="F566" s="53"/>
      <c r="H566" s="123">
        <f t="shared" si="171"/>
        <v>0</v>
      </c>
      <c r="I566" s="42"/>
      <c r="J566" s="26">
        <v>0</v>
      </c>
    </row>
    <row r="567" spans="1:10" x14ac:dyDescent="0.2">
      <c r="A567" s="53"/>
      <c r="B567" s="53"/>
      <c r="C567" s="46"/>
      <c r="D567" s="55"/>
      <c r="E567" s="53"/>
      <c r="F567" s="53"/>
      <c r="H567" s="123">
        <f t="shared" si="171"/>
        <v>0</v>
      </c>
      <c r="I567" s="42"/>
      <c r="J567" s="26">
        <v>0</v>
      </c>
    </row>
    <row r="568" spans="1:10" x14ac:dyDescent="0.2">
      <c r="A568" s="53"/>
      <c r="B568" s="53"/>
      <c r="C568" s="46"/>
      <c r="D568" s="55"/>
      <c r="E568" s="53"/>
      <c r="F568" s="53"/>
      <c r="H568" s="123">
        <f t="shared" si="171"/>
        <v>0</v>
      </c>
      <c r="I568" s="42"/>
      <c r="J568" s="26">
        <v>0</v>
      </c>
    </row>
    <row r="569" spans="1:10" x14ac:dyDescent="0.2">
      <c r="A569" s="53"/>
      <c r="B569" s="53"/>
      <c r="C569" s="46"/>
      <c r="D569" s="55"/>
      <c r="E569" s="53"/>
      <c r="F569" s="53"/>
      <c r="H569" s="123">
        <f t="shared" si="171"/>
        <v>0</v>
      </c>
      <c r="I569" s="42"/>
      <c r="J569" s="26">
        <v>0</v>
      </c>
    </row>
    <row r="570" spans="1:10" x14ac:dyDescent="0.2">
      <c r="A570" s="53"/>
      <c r="B570" s="53"/>
      <c r="C570" s="46"/>
      <c r="D570" s="55"/>
      <c r="E570" s="53"/>
      <c r="F570" s="53"/>
      <c r="H570" s="123">
        <f t="shared" si="171"/>
        <v>0</v>
      </c>
      <c r="I570" s="42"/>
      <c r="J570" s="26">
        <v>0</v>
      </c>
    </row>
    <row r="571" spans="1:10" x14ac:dyDescent="0.2">
      <c r="A571" s="53"/>
      <c r="B571" s="53"/>
      <c r="C571" s="46"/>
      <c r="D571" s="55"/>
      <c r="E571" s="53"/>
      <c r="F571" s="53"/>
      <c r="H571" s="123">
        <f t="shared" si="171"/>
        <v>0</v>
      </c>
      <c r="I571" s="42"/>
      <c r="J571" s="26">
        <v>0</v>
      </c>
    </row>
    <row r="572" spans="1:10" x14ac:dyDescent="0.2">
      <c r="A572" s="53"/>
      <c r="B572" s="53"/>
      <c r="C572" s="46"/>
      <c r="D572" s="55"/>
      <c r="E572" s="53"/>
      <c r="F572" s="53"/>
      <c r="H572" s="123">
        <f t="shared" si="171"/>
        <v>0</v>
      </c>
      <c r="I572" s="42"/>
      <c r="J572" s="26">
        <v>0</v>
      </c>
    </row>
    <row r="573" spans="1:10" x14ac:dyDescent="0.2">
      <c r="A573" s="53"/>
      <c r="B573" s="53"/>
      <c r="C573" s="46"/>
      <c r="D573" s="55"/>
      <c r="E573" s="53"/>
      <c r="F573" s="53"/>
      <c r="H573" s="123">
        <f t="shared" si="171"/>
        <v>0</v>
      </c>
      <c r="I573" s="42"/>
      <c r="J573" s="26">
        <v>0</v>
      </c>
    </row>
    <row r="574" spans="1:10" x14ac:dyDescent="0.2">
      <c r="A574" s="53"/>
      <c r="B574" s="53"/>
      <c r="C574" s="46"/>
      <c r="D574" s="55"/>
      <c r="E574" s="53"/>
      <c r="F574" s="53"/>
      <c r="H574" s="123">
        <f t="shared" si="171"/>
        <v>0</v>
      </c>
      <c r="I574" s="42"/>
      <c r="J574" s="26">
        <v>0</v>
      </c>
    </row>
    <row r="575" spans="1:10" x14ac:dyDescent="0.2">
      <c r="A575" s="53"/>
      <c r="B575" s="53"/>
      <c r="C575" s="46"/>
      <c r="D575" s="55"/>
      <c r="E575" s="53"/>
      <c r="F575" s="53"/>
      <c r="H575" s="123">
        <f t="shared" si="171"/>
        <v>0</v>
      </c>
      <c r="I575" s="42"/>
      <c r="J575" s="26">
        <v>0</v>
      </c>
    </row>
    <row r="576" spans="1:10" x14ac:dyDescent="0.2">
      <c r="A576" s="53"/>
      <c r="B576" s="53"/>
      <c r="C576" s="46"/>
      <c r="D576" s="55"/>
      <c r="E576" s="53"/>
      <c r="F576" s="53"/>
      <c r="H576" s="123">
        <f t="shared" si="171"/>
        <v>0</v>
      </c>
      <c r="I576" s="42"/>
      <c r="J576" s="26">
        <v>0</v>
      </c>
    </row>
    <row r="577" spans="1:10" x14ac:dyDescent="0.2">
      <c r="A577" s="53"/>
      <c r="B577" s="53"/>
      <c r="C577" s="46"/>
      <c r="D577" s="55"/>
      <c r="E577" s="53"/>
      <c r="F577" s="53"/>
      <c r="H577" s="123">
        <f t="shared" si="171"/>
        <v>0</v>
      </c>
      <c r="I577" s="42"/>
      <c r="J577" s="26">
        <v>0</v>
      </c>
    </row>
    <row r="578" spans="1:10" x14ac:dyDescent="0.2">
      <c r="A578" s="53"/>
      <c r="B578" s="53"/>
      <c r="C578" s="46"/>
      <c r="D578" s="55"/>
      <c r="E578" s="53"/>
      <c r="F578" s="53"/>
      <c r="H578" s="123">
        <f t="shared" si="171"/>
        <v>0</v>
      </c>
      <c r="I578" s="42"/>
      <c r="J578" s="26">
        <v>0</v>
      </c>
    </row>
    <row r="579" spans="1:10" x14ac:dyDescent="0.2">
      <c r="A579" s="53"/>
      <c r="B579" s="53"/>
      <c r="C579" s="46"/>
      <c r="D579" s="55"/>
      <c r="E579" s="53"/>
      <c r="F579" s="53"/>
      <c r="H579" s="123">
        <f t="shared" si="171"/>
        <v>0</v>
      </c>
      <c r="I579" s="42"/>
      <c r="J579" s="26">
        <v>0</v>
      </c>
    </row>
    <row r="580" spans="1:10" x14ac:dyDescent="0.2">
      <c r="A580" s="53"/>
      <c r="B580" s="53"/>
      <c r="C580" s="46"/>
      <c r="D580" s="55"/>
      <c r="E580" s="53"/>
      <c r="F580" s="53"/>
      <c r="H580" s="123">
        <f t="shared" si="171"/>
        <v>0</v>
      </c>
      <c r="I580" s="42"/>
      <c r="J580" s="26">
        <v>0</v>
      </c>
    </row>
    <row r="581" spans="1:10" x14ac:dyDescent="0.2">
      <c r="A581" s="53"/>
      <c r="B581" s="53"/>
      <c r="C581" s="46"/>
      <c r="D581" s="55"/>
      <c r="E581" s="53"/>
      <c r="F581" s="53"/>
      <c r="H581" s="123">
        <f t="shared" si="171"/>
        <v>0</v>
      </c>
      <c r="I581" s="42"/>
      <c r="J581" s="26">
        <v>0</v>
      </c>
    </row>
    <row r="582" spans="1:10" x14ac:dyDescent="0.2">
      <c r="A582" s="53"/>
      <c r="B582" s="53"/>
      <c r="C582" s="46"/>
      <c r="D582" s="55"/>
      <c r="E582" s="53"/>
      <c r="F582" s="53"/>
      <c r="H582" s="123">
        <f t="shared" si="171"/>
        <v>0</v>
      </c>
      <c r="I582" s="42"/>
      <c r="J582" s="26">
        <v>0</v>
      </c>
    </row>
    <row r="583" spans="1:10" x14ac:dyDescent="0.2">
      <c r="A583" s="53"/>
      <c r="B583" s="53"/>
      <c r="C583" s="46"/>
      <c r="D583" s="55"/>
      <c r="E583" s="53"/>
      <c r="F583" s="53"/>
      <c r="H583" s="123">
        <f t="shared" si="171"/>
        <v>0</v>
      </c>
      <c r="I583" s="42"/>
      <c r="J583" s="26">
        <v>0</v>
      </c>
    </row>
    <row r="584" spans="1:10" x14ac:dyDescent="0.2">
      <c r="A584" s="53"/>
      <c r="B584" s="53"/>
      <c r="C584" s="46"/>
      <c r="D584" s="55"/>
      <c r="E584" s="53"/>
      <c r="F584" s="53"/>
      <c r="H584" s="123">
        <f t="shared" si="171"/>
        <v>0</v>
      </c>
      <c r="I584" s="42"/>
      <c r="J584" s="26">
        <v>0</v>
      </c>
    </row>
    <row r="585" spans="1:10" x14ac:dyDescent="0.2">
      <c r="A585" s="53"/>
      <c r="B585" s="53"/>
      <c r="C585" s="46"/>
      <c r="D585" s="55"/>
      <c r="E585" s="53"/>
      <c r="F585" s="53"/>
      <c r="H585" s="123">
        <f t="shared" si="171"/>
        <v>0</v>
      </c>
      <c r="I585" s="42"/>
      <c r="J585" s="26">
        <v>0</v>
      </c>
    </row>
    <row r="586" spans="1:10" x14ac:dyDescent="0.2">
      <c r="A586" s="53"/>
      <c r="B586" s="53"/>
      <c r="C586" s="46"/>
      <c r="D586" s="55"/>
      <c r="E586" s="53"/>
      <c r="F586" s="53"/>
      <c r="H586" s="123">
        <f t="shared" si="171"/>
        <v>0</v>
      </c>
      <c r="I586" s="42"/>
      <c r="J586" s="26">
        <v>0</v>
      </c>
    </row>
    <row r="587" spans="1:10" x14ac:dyDescent="0.2">
      <c r="A587" s="53"/>
      <c r="B587" s="53"/>
      <c r="C587" s="46"/>
      <c r="D587" s="55"/>
      <c r="E587" s="53"/>
      <c r="F587" s="53"/>
      <c r="H587" s="123">
        <f t="shared" si="171"/>
        <v>0</v>
      </c>
      <c r="I587" s="42"/>
      <c r="J587" s="26">
        <v>0</v>
      </c>
    </row>
    <row r="588" spans="1:10" x14ac:dyDescent="0.2">
      <c r="A588" s="53"/>
      <c r="B588" s="53"/>
      <c r="C588" s="46"/>
      <c r="D588" s="55"/>
      <c r="E588" s="53"/>
      <c r="F588" s="53"/>
      <c r="H588" s="123">
        <f t="shared" si="171"/>
        <v>0</v>
      </c>
      <c r="I588" s="42"/>
      <c r="J588" s="26">
        <v>0</v>
      </c>
    </row>
    <row r="589" spans="1:10" x14ac:dyDescent="0.2">
      <c r="A589" s="53"/>
      <c r="B589" s="53"/>
      <c r="C589" s="46"/>
      <c r="D589" s="55"/>
      <c r="E589" s="53"/>
      <c r="F589" s="53"/>
      <c r="H589" s="123">
        <f t="shared" si="171"/>
        <v>0</v>
      </c>
      <c r="I589" s="42"/>
      <c r="J589" s="26">
        <v>0</v>
      </c>
    </row>
    <row r="590" spans="1:10" x14ac:dyDescent="0.2">
      <c r="A590" s="53"/>
      <c r="B590" s="53"/>
      <c r="C590" s="46"/>
      <c r="D590" s="55"/>
      <c r="E590" s="53"/>
      <c r="F590" s="53"/>
      <c r="H590" s="123">
        <f t="shared" si="171"/>
        <v>0</v>
      </c>
      <c r="I590" s="42"/>
      <c r="J590" s="26">
        <v>0</v>
      </c>
    </row>
    <row r="591" spans="1:10" x14ac:dyDescent="0.2">
      <c r="A591" s="53"/>
      <c r="B591" s="53"/>
      <c r="C591" s="46"/>
      <c r="D591" s="55"/>
      <c r="E591" s="53"/>
      <c r="F591" s="53"/>
      <c r="H591" s="123">
        <f t="shared" si="171"/>
        <v>0</v>
      </c>
      <c r="I591" s="42"/>
      <c r="J591" s="26">
        <v>0</v>
      </c>
    </row>
    <row r="592" spans="1:10" x14ac:dyDescent="0.2">
      <c r="A592" s="53"/>
      <c r="B592" s="53"/>
      <c r="C592" s="46"/>
      <c r="D592" s="55"/>
      <c r="E592" s="53"/>
      <c r="F592" s="53"/>
      <c r="H592" s="123">
        <f t="shared" si="171"/>
        <v>0</v>
      </c>
      <c r="I592" s="42"/>
      <c r="J592" s="26">
        <v>0</v>
      </c>
    </row>
    <row r="593" spans="1:10" x14ac:dyDescent="0.2">
      <c r="A593" s="53"/>
      <c r="B593" s="53"/>
      <c r="C593" s="46"/>
      <c r="D593" s="55"/>
      <c r="E593" s="53"/>
      <c r="F593" s="53"/>
      <c r="H593" s="123">
        <f t="shared" si="171"/>
        <v>0</v>
      </c>
      <c r="I593" s="42"/>
      <c r="J593" s="26">
        <v>0</v>
      </c>
    </row>
    <row r="594" spans="1:10" x14ac:dyDescent="0.2">
      <c r="A594" s="53"/>
      <c r="B594" s="53"/>
      <c r="C594" s="46"/>
      <c r="D594" s="55"/>
      <c r="E594" s="53"/>
      <c r="F594" s="53"/>
      <c r="H594" s="123">
        <f t="shared" si="171"/>
        <v>0</v>
      </c>
      <c r="I594" s="42"/>
      <c r="J594" s="26">
        <v>0</v>
      </c>
    </row>
    <row r="595" spans="1:10" x14ac:dyDescent="0.2">
      <c r="A595" s="53"/>
      <c r="B595" s="53"/>
      <c r="C595" s="46"/>
      <c r="D595" s="55"/>
      <c r="E595" s="53"/>
      <c r="F595" s="53"/>
      <c r="H595" s="123">
        <f t="shared" si="171"/>
        <v>0</v>
      </c>
      <c r="I595" s="42"/>
      <c r="J595" s="26">
        <v>0</v>
      </c>
    </row>
    <row r="596" spans="1:10" x14ac:dyDescent="0.2">
      <c r="A596" s="53"/>
      <c r="B596" s="53"/>
      <c r="C596" s="46"/>
      <c r="D596" s="55"/>
      <c r="E596" s="53"/>
      <c r="F596" s="53"/>
      <c r="H596" s="123">
        <f t="shared" si="171"/>
        <v>0</v>
      </c>
      <c r="I596" s="42"/>
      <c r="J596" s="26">
        <v>0</v>
      </c>
    </row>
    <row r="597" spans="1:10" x14ac:dyDescent="0.2">
      <c r="A597" s="53"/>
      <c r="B597" s="53"/>
      <c r="C597" s="46"/>
      <c r="D597" s="55"/>
      <c r="E597" s="53"/>
      <c r="F597" s="53"/>
      <c r="H597" s="123">
        <f t="shared" si="171"/>
        <v>0</v>
      </c>
      <c r="I597" s="42"/>
      <c r="J597" s="26">
        <v>0</v>
      </c>
    </row>
    <row r="598" spans="1:10" x14ac:dyDescent="0.2">
      <c r="A598" s="53"/>
      <c r="B598" s="53"/>
      <c r="C598" s="46"/>
      <c r="D598" s="55"/>
      <c r="E598" s="53"/>
      <c r="F598" s="53"/>
      <c r="H598" s="123">
        <f t="shared" si="171"/>
        <v>0</v>
      </c>
      <c r="I598" s="42"/>
      <c r="J598" s="26">
        <v>0</v>
      </c>
    </row>
    <row r="599" spans="1:10" x14ac:dyDescent="0.2">
      <c r="A599" s="53"/>
      <c r="B599" s="53"/>
      <c r="C599" s="46"/>
      <c r="D599" s="55"/>
      <c r="E599" s="53"/>
      <c r="F599" s="53"/>
      <c r="H599" s="123">
        <f t="shared" si="171"/>
        <v>0</v>
      </c>
      <c r="I599" s="42"/>
      <c r="J599" s="26">
        <v>0</v>
      </c>
    </row>
    <row r="600" spans="1:10" x14ac:dyDescent="0.2">
      <c r="A600" s="53"/>
      <c r="B600" s="53"/>
      <c r="C600" s="46"/>
      <c r="D600" s="55"/>
      <c r="E600" s="53"/>
      <c r="F600" s="53"/>
      <c r="H600" s="123">
        <f t="shared" si="171"/>
        <v>0</v>
      </c>
      <c r="I600" s="42"/>
      <c r="J600" s="26">
        <v>0</v>
      </c>
    </row>
    <row r="601" spans="1:10" x14ac:dyDescent="0.2">
      <c r="A601" s="53"/>
      <c r="B601" s="53"/>
      <c r="C601" s="46"/>
      <c r="D601" s="55"/>
      <c r="E601" s="53"/>
      <c r="F601" s="53"/>
      <c r="H601" s="123">
        <f t="shared" si="171"/>
        <v>0</v>
      </c>
      <c r="I601" s="42"/>
      <c r="J601" s="26">
        <v>0</v>
      </c>
    </row>
    <row r="602" spans="1:10" x14ac:dyDescent="0.2">
      <c r="A602" s="53"/>
      <c r="B602" s="53"/>
      <c r="C602" s="46"/>
      <c r="D602" s="55"/>
      <c r="E602" s="53"/>
      <c r="F602" s="53"/>
      <c r="H602" s="123">
        <f t="shared" si="171"/>
        <v>0</v>
      </c>
      <c r="I602" s="42"/>
      <c r="J602" s="26">
        <v>0</v>
      </c>
    </row>
    <row r="603" spans="1:10" x14ac:dyDescent="0.2">
      <c r="A603" s="53"/>
      <c r="B603" s="53"/>
      <c r="C603" s="46"/>
      <c r="D603" s="55"/>
      <c r="E603" s="53"/>
      <c r="F603" s="53"/>
      <c r="H603" s="123">
        <f t="shared" si="171"/>
        <v>0</v>
      </c>
      <c r="I603" s="42"/>
      <c r="J603" s="26">
        <v>0</v>
      </c>
    </row>
    <row r="604" spans="1:10" x14ac:dyDescent="0.2">
      <c r="A604" s="53"/>
      <c r="B604" s="53"/>
      <c r="C604" s="46"/>
      <c r="D604" s="55"/>
      <c r="E604" s="53"/>
      <c r="F604" s="53"/>
      <c r="H604" s="123">
        <f t="shared" si="171"/>
        <v>0</v>
      </c>
      <c r="I604" s="42"/>
      <c r="J604" s="26">
        <v>0</v>
      </c>
    </row>
    <row r="605" spans="1:10" x14ac:dyDescent="0.2">
      <c r="A605" s="53"/>
      <c r="B605" s="53"/>
      <c r="C605" s="46"/>
      <c r="D605" s="55"/>
      <c r="E605" s="53"/>
      <c r="F605" s="53"/>
      <c r="H605" s="123">
        <f t="shared" si="171"/>
        <v>0</v>
      </c>
      <c r="I605" s="42"/>
      <c r="J605" s="26">
        <v>0</v>
      </c>
    </row>
    <row r="606" spans="1:10" x14ac:dyDescent="0.2">
      <c r="A606" s="53"/>
      <c r="B606" s="53"/>
      <c r="C606" s="46"/>
      <c r="D606" s="55"/>
      <c r="E606" s="53"/>
      <c r="F606" s="53"/>
      <c r="H606" s="123">
        <f t="shared" si="171"/>
        <v>0</v>
      </c>
      <c r="I606" s="42"/>
      <c r="J606" s="26">
        <v>0</v>
      </c>
    </row>
    <row r="607" spans="1:10" x14ac:dyDescent="0.2">
      <c r="A607" s="53"/>
      <c r="B607" s="53"/>
      <c r="C607" s="46"/>
      <c r="D607" s="55"/>
      <c r="E607" s="53"/>
      <c r="F607" s="53"/>
      <c r="H607" s="123">
        <f t="shared" ref="H607:H670" si="172">E607+G607</f>
        <v>0</v>
      </c>
      <c r="I607" s="42"/>
      <c r="J607" s="26">
        <v>0</v>
      </c>
    </row>
    <row r="608" spans="1:10" x14ac:dyDescent="0.2">
      <c r="A608" s="53"/>
      <c r="B608" s="53"/>
      <c r="C608" s="46"/>
      <c r="D608" s="55"/>
      <c r="E608" s="53"/>
      <c r="F608" s="53"/>
      <c r="H608" s="123">
        <f t="shared" si="172"/>
        <v>0</v>
      </c>
      <c r="I608" s="42"/>
      <c r="J608" s="26">
        <v>0</v>
      </c>
    </row>
    <row r="609" spans="1:10" x14ac:dyDescent="0.2">
      <c r="A609" s="53"/>
      <c r="B609" s="53"/>
      <c r="C609" s="46"/>
      <c r="D609" s="55"/>
      <c r="E609" s="53"/>
      <c r="F609" s="53"/>
      <c r="H609" s="123">
        <f t="shared" si="172"/>
        <v>0</v>
      </c>
      <c r="I609" s="42"/>
      <c r="J609" s="26">
        <v>0</v>
      </c>
    </row>
    <row r="610" spans="1:10" x14ac:dyDescent="0.2">
      <c r="A610" s="53"/>
      <c r="B610" s="53"/>
      <c r="C610" s="46"/>
      <c r="D610" s="55"/>
      <c r="E610" s="53"/>
      <c r="F610" s="53"/>
      <c r="H610" s="123">
        <f t="shared" si="172"/>
        <v>0</v>
      </c>
      <c r="I610" s="42"/>
      <c r="J610" s="26">
        <v>0</v>
      </c>
    </row>
    <row r="611" spans="1:10" x14ac:dyDescent="0.2">
      <c r="A611" s="53"/>
      <c r="B611" s="53"/>
      <c r="C611" s="46"/>
      <c r="D611" s="55"/>
      <c r="E611" s="53"/>
      <c r="F611" s="53"/>
      <c r="H611" s="123">
        <f t="shared" si="172"/>
        <v>0</v>
      </c>
      <c r="I611" s="42"/>
      <c r="J611" s="26">
        <v>0</v>
      </c>
    </row>
    <row r="612" spans="1:10" x14ac:dyDescent="0.2">
      <c r="A612" s="53"/>
      <c r="B612" s="53"/>
      <c r="C612" s="46"/>
      <c r="D612" s="55"/>
      <c r="E612" s="53"/>
      <c r="F612" s="53"/>
      <c r="H612" s="123">
        <f t="shared" si="172"/>
        <v>0</v>
      </c>
      <c r="I612" s="42"/>
      <c r="J612" s="26">
        <v>0</v>
      </c>
    </row>
    <row r="613" spans="1:10" x14ac:dyDescent="0.2">
      <c r="A613" s="53"/>
      <c r="B613" s="53"/>
      <c r="C613" s="46"/>
      <c r="D613" s="55"/>
      <c r="E613" s="53"/>
      <c r="F613" s="53"/>
      <c r="H613" s="123">
        <f t="shared" si="172"/>
        <v>0</v>
      </c>
      <c r="I613" s="42"/>
      <c r="J613" s="26">
        <v>0</v>
      </c>
    </row>
    <row r="614" spans="1:10" x14ac:dyDescent="0.2">
      <c r="A614" s="53"/>
      <c r="B614" s="53"/>
      <c r="C614" s="46"/>
      <c r="D614" s="55"/>
      <c r="E614" s="53"/>
      <c r="F614" s="53"/>
      <c r="H614" s="123">
        <f t="shared" si="172"/>
        <v>0</v>
      </c>
      <c r="I614" s="42"/>
      <c r="J614" s="26">
        <v>0</v>
      </c>
    </row>
    <row r="615" spans="1:10" x14ac:dyDescent="0.2">
      <c r="A615" s="53"/>
      <c r="B615" s="53"/>
      <c r="C615" s="46"/>
      <c r="D615" s="55"/>
      <c r="E615" s="53"/>
      <c r="F615" s="53"/>
      <c r="H615" s="123">
        <f t="shared" si="172"/>
        <v>0</v>
      </c>
      <c r="I615" s="42"/>
      <c r="J615" s="26">
        <v>0</v>
      </c>
    </row>
    <row r="616" spans="1:10" x14ac:dyDescent="0.2">
      <c r="A616" s="53"/>
      <c r="B616" s="53"/>
      <c r="C616" s="46"/>
      <c r="D616" s="55"/>
      <c r="E616" s="53"/>
      <c r="F616" s="53"/>
      <c r="H616" s="123">
        <f t="shared" si="172"/>
        <v>0</v>
      </c>
      <c r="I616" s="42"/>
      <c r="J616" s="26">
        <v>0</v>
      </c>
    </row>
    <row r="617" spans="1:10" x14ac:dyDescent="0.2">
      <c r="A617" s="53"/>
      <c r="B617" s="53"/>
      <c r="C617" s="46"/>
      <c r="D617" s="55"/>
      <c r="E617" s="53"/>
      <c r="F617" s="53"/>
      <c r="H617" s="123">
        <f t="shared" si="172"/>
        <v>0</v>
      </c>
      <c r="I617" s="42"/>
      <c r="J617" s="26">
        <v>0</v>
      </c>
    </row>
    <row r="618" spans="1:10" x14ac:dyDescent="0.2">
      <c r="A618" s="53"/>
      <c r="B618" s="53"/>
      <c r="C618" s="46"/>
      <c r="D618" s="55"/>
      <c r="E618" s="53"/>
      <c r="F618" s="53"/>
      <c r="H618" s="123">
        <f t="shared" si="172"/>
        <v>0</v>
      </c>
      <c r="I618" s="42"/>
      <c r="J618" s="26">
        <v>0</v>
      </c>
    </row>
    <row r="619" spans="1:10" x14ac:dyDescent="0.2">
      <c r="A619" s="53"/>
      <c r="B619" s="53"/>
      <c r="C619" s="46"/>
      <c r="D619" s="55"/>
      <c r="E619" s="53"/>
      <c r="F619" s="53"/>
      <c r="H619" s="123">
        <f t="shared" si="172"/>
        <v>0</v>
      </c>
      <c r="I619" s="42"/>
      <c r="J619" s="26">
        <v>0</v>
      </c>
    </row>
    <row r="620" spans="1:10" x14ac:dyDescent="0.2">
      <c r="A620" s="53"/>
      <c r="B620" s="53"/>
      <c r="C620" s="46"/>
      <c r="D620" s="55"/>
      <c r="E620" s="53"/>
      <c r="F620" s="53"/>
      <c r="H620" s="123">
        <f t="shared" si="172"/>
        <v>0</v>
      </c>
      <c r="I620" s="42"/>
      <c r="J620" s="26">
        <v>0</v>
      </c>
    </row>
    <row r="621" spans="1:10" x14ac:dyDescent="0.2">
      <c r="A621" s="53"/>
      <c r="B621" s="53"/>
      <c r="C621" s="46"/>
      <c r="D621" s="55"/>
      <c r="E621" s="53"/>
      <c r="F621" s="53"/>
      <c r="H621" s="123">
        <f t="shared" si="172"/>
        <v>0</v>
      </c>
      <c r="I621" s="42"/>
      <c r="J621" s="26">
        <v>0</v>
      </c>
    </row>
    <row r="622" spans="1:10" x14ac:dyDescent="0.2">
      <c r="A622" s="53"/>
      <c r="B622" s="53"/>
      <c r="C622" s="46"/>
      <c r="D622" s="55"/>
      <c r="E622" s="53"/>
      <c r="F622" s="53"/>
      <c r="H622" s="123">
        <f t="shared" si="172"/>
        <v>0</v>
      </c>
      <c r="I622" s="42"/>
      <c r="J622" s="26">
        <v>0</v>
      </c>
    </row>
    <row r="623" spans="1:10" x14ac:dyDescent="0.2">
      <c r="A623" s="53"/>
      <c r="B623" s="53"/>
      <c r="C623" s="46"/>
      <c r="D623" s="55"/>
      <c r="E623" s="53"/>
      <c r="F623" s="53"/>
      <c r="H623" s="123">
        <f t="shared" si="172"/>
        <v>0</v>
      </c>
      <c r="I623" s="42"/>
      <c r="J623" s="26">
        <v>0</v>
      </c>
    </row>
    <row r="624" spans="1:10" x14ac:dyDescent="0.2">
      <c r="A624" s="53"/>
      <c r="B624" s="53"/>
      <c r="C624" s="46"/>
      <c r="D624" s="55"/>
      <c r="E624" s="53"/>
      <c r="F624" s="53"/>
      <c r="H624" s="123">
        <f t="shared" si="172"/>
        <v>0</v>
      </c>
      <c r="I624" s="42"/>
      <c r="J624" s="26">
        <v>0</v>
      </c>
    </row>
    <row r="625" spans="1:10" x14ac:dyDescent="0.2">
      <c r="A625" s="53"/>
      <c r="B625" s="53"/>
      <c r="C625" s="46"/>
      <c r="D625" s="55"/>
      <c r="E625" s="53"/>
      <c r="F625" s="53"/>
      <c r="H625" s="123">
        <f t="shared" si="172"/>
        <v>0</v>
      </c>
      <c r="I625" s="42"/>
      <c r="J625" s="26">
        <v>0</v>
      </c>
    </row>
    <row r="626" spans="1:10" x14ac:dyDescent="0.2">
      <c r="A626" s="53"/>
      <c r="B626" s="53"/>
      <c r="C626" s="46"/>
      <c r="D626" s="55"/>
      <c r="E626" s="53"/>
      <c r="F626" s="53"/>
      <c r="H626" s="123">
        <f t="shared" si="172"/>
        <v>0</v>
      </c>
      <c r="I626" s="42"/>
      <c r="J626" s="26">
        <v>0</v>
      </c>
    </row>
    <row r="627" spans="1:10" x14ac:dyDescent="0.2">
      <c r="A627" s="53"/>
      <c r="B627" s="53"/>
      <c r="C627" s="46"/>
      <c r="D627" s="55"/>
      <c r="E627" s="53"/>
      <c r="F627" s="53"/>
      <c r="H627" s="123">
        <f t="shared" si="172"/>
        <v>0</v>
      </c>
      <c r="I627" s="42"/>
      <c r="J627" s="26">
        <v>0</v>
      </c>
    </row>
    <row r="628" spans="1:10" x14ac:dyDescent="0.2">
      <c r="A628" s="53"/>
      <c r="B628" s="53"/>
      <c r="C628" s="46"/>
      <c r="D628" s="55"/>
      <c r="E628" s="53"/>
      <c r="F628" s="53"/>
      <c r="H628" s="123">
        <f t="shared" si="172"/>
        <v>0</v>
      </c>
      <c r="I628" s="42"/>
      <c r="J628" s="26">
        <v>0</v>
      </c>
    </row>
    <row r="629" spans="1:10" x14ac:dyDescent="0.2">
      <c r="A629" s="53"/>
      <c r="B629" s="53"/>
      <c r="C629" s="46"/>
      <c r="D629" s="55"/>
      <c r="E629" s="53"/>
      <c r="F629" s="53"/>
      <c r="H629" s="123">
        <f t="shared" si="172"/>
        <v>0</v>
      </c>
      <c r="I629" s="42"/>
      <c r="J629" s="26">
        <v>0</v>
      </c>
    </row>
    <row r="630" spans="1:10" x14ac:dyDescent="0.2">
      <c r="A630" s="53"/>
      <c r="B630" s="53"/>
      <c r="C630" s="46"/>
      <c r="D630" s="55"/>
      <c r="E630" s="53"/>
      <c r="F630" s="53"/>
      <c r="H630" s="123">
        <f t="shared" si="172"/>
        <v>0</v>
      </c>
      <c r="I630" s="42"/>
      <c r="J630" s="26">
        <v>0</v>
      </c>
    </row>
    <row r="631" spans="1:10" x14ac:dyDescent="0.2">
      <c r="A631" s="53"/>
      <c r="B631" s="53"/>
      <c r="C631" s="46"/>
      <c r="D631" s="55"/>
      <c r="E631" s="53"/>
      <c r="F631" s="53"/>
      <c r="H631" s="123">
        <f t="shared" si="172"/>
        <v>0</v>
      </c>
      <c r="I631" s="42"/>
      <c r="J631" s="26">
        <v>0</v>
      </c>
    </row>
    <row r="632" spans="1:10" x14ac:dyDescent="0.2">
      <c r="A632" s="53"/>
      <c r="B632" s="53"/>
      <c r="C632" s="46"/>
      <c r="D632" s="55"/>
      <c r="E632" s="53"/>
      <c r="F632" s="53"/>
      <c r="H632" s="123">
        <f t="shared" si="172"/>
        <v>0</v>
      </c>
      <c r="I632" s="42"/>
      <c r="J632" s="26">
        <v>0</v>
      </c>
    </row>
    <row r="633" spans="1:10" x14ac:dyDescent="0.2">
      <c r="A633" s="53"/>
      <c r="B633" s="53"/>
      <c r="C633" s="46"/>
      <c r="D633" s="55"/>
      <c r="E633" s="53"/>
      <c r="F633" s="53"/>
      <c r="H633" s="123">
        <f t="shared" si="172"/>
        <v>0</v>
      </c>
      <c r="I633" s="42"/>
      <c r="J633" s="26">
        <v>0</v>
      </c>
    </row>
    <row r="634" spans="1:10" x14ac:dyDescent="0.2">
      <c r="A634" s="53"/>
      <c r="B634" s="53"/>
      <c r="C634" s="46"/>
      <c r="D634" s="55"/>
      <c r="E634" s="53"/>
      <c r="F634" s="53"/>
      <c r="H634" s="123">
        <f t="shared" si="172"/>
        <v>0</v>
      </c>
      <c r="I634" s="42"/>
      <c r="J634" s="26">
        <v>0</v>
      </c>
    </row>
    <row r="635" spans="1:10" x14ac:dyDescent="0.2">
      <c r="A635" s="53"/>
      <c r="B635" s="53"/>
      <c r="C635" s="46"/>
      <c r="D635" s="55"/>
      <c r="E635" s="53"/>
      <c r="F635" s="53"/>
      <c r="H635" s="123">
        <f t="shared" si="172"/>
        <v>0</v>
      </c>
      <c r="I635" s="42"/>
      <c r="J635" s="26">
        <v>0</v>
      </c>
    </row>
    <row r="636" spans="1:10" x14ac:dyDescent="0.2">
      <c r="A636" s="53"/>
      <c r="B636" s="53"/>
      <c r="C636" s="46"/>
      <c r="D636" s="55"/>
      <c r="E636" s="53"/>
      <c r="F636" s="53"/>
      <c r="H636" s="123">
        <f t="shared" si="172"/>
        <v>0</v>
      </c>
      <c r="I636" s="42"/>
      <c r="J636" s="26">
        <v>0</v>
      </c>
    </row>
    <row r="637" spans="1:10" x14ac:dyDescent="0.2">
      <c r="A637" s="53"/>
      <c r="B637" s="53"/>
      <c r="C637" s="46"/>
      <c r="D637" s="55"/>
      <c r="E637" s="53"/>
      <c r="F637" s="53"/>
      <c r="H637" s="123">
        <f t="shared" si="172"/>
        <v>0</v>
      </c>
      <c r="I637" s="42"/>
      <c r="J637" s="26">
        <v>0</v>
      </c>
    </row>
    <row r="638" spans="1:10" x14ac:dyDescent="0.2">
      <c r="A638" s="53"/>
      <c r="B638" s="53"/>
      <c r="C638" s="46"/>
      <c r="D638" s="55"/>
      <c r="E638" s="53"/>
      <c r="F638" s="53"/>
      <c r="H638" s="123">
        <f t="shared" si="172"/>
        <v>0</v>
      </c>
      <c r="I638" s="42"/>
      <c r="J638" s="26">
        <v>0</v>
      </c>
    </row>
    <row r="639" spans="1:10" x14ac:dyDescent="0.2">
      <c r="A639" s="53"/>
      <c r="B639" s="53"/>
      <c r="C639" s="46"/>
      <c r="D639" s="55"/>
      <c r="E639" s="53"/>
      <c r="F639" s="53"/>
      <c r="H639" s="123">
        <f t="shared" si="172"/>
        <v>0</v>
      </c>
      <c r="I639" s="42"/>
      <c r="J639" s="26">
        <v>0</v>
      </c>
    </row>
    <row r="640" spans="1:10" x14ac:dyDescent="0.2">
      <c r="A640" s="53"/>
      <c r="B640" s="53"/>
      <c r="C640" s="46"/>
      <c r="D640" s="55"/>
      <c r="E640" s="53"/>
      <c r="F640" s="53"/>
      <c r="H640" s="123">
        <f t="shared" si="172"/>
        <v>0</v>
      </c>
      <c r="I640" s="42"/>
      <c r="J640" s="26">
        <v>0</v>
      </c>
    </row>
    <row r="641" spans="1:10" x14ac:dyDescent="0.2">
      <c r="A641" s="53"/>
      <c r="B641" s="53"/>
      <c r="C641" s="46"/>
      <c r="D641" s="55"/>
      <c r="E641" s="53"/>
      <c r="F641" s="53"/>
      <c r="H641" s="123">
        <f t="shared" si="172"/>
        <v>0</v>
      </c>
      <c r="I641" s="42"/>
      <c r="J641" s="26">
        <v>0</v>
      </c>
    </row>
    <row r="642" spans="1:10" x14ac:dyDescent="0.2">
      <c r="A642" s="53"/>
      <c r="B642" s="53"/>
      <c r="C642" s="46"/>
      <c r="D642" s="55"/>
      <c r="E642" s="53"/>
      <c r="F642" s="53"/>
      <c r="H642" s="123">
        <f t="shared" si="172"/>
        <v>0</v>
      </c>
      <c r="I642" s="42"/>
      <c r="J642" s="26">
        <v>0</v>
      </c>
    </row>
    <row r="643" spans="1:10" x14ac:dyDescent="0.2">
      <c r="A643" s="53"/>
      <c r="B643" s="53"/>
      <c r="C643" s="46"/>
      <c r="D643" s="55"/>
      <c r="E643" s="53"/>
      <c r="F643" s="53"/>
      <c r="H643" s="123">
        <f t="shared" si="172"/>
        <v>0</v>
      </c>
      <c r="I643" s="42"/>
      <c r="J643" s="26">
        <v>0</v>
      </c>
    </row>
    <row r="644" spans="1:10" x14ac:dyDescent="0.2">
      <c r="A644" s="53"/>
      <c r="B644" s="53"/>
      <c r="C644" s="46"/>
      <c r="D644" s="55"/>
      <c r="E644" s="53"/>
      <c r="F644" s="53"/>
      <c r="H644" s="123">
        <f t="shared" si="172"/>
        <v>0</v>
      </c>
      <c r="I644" s="42"/>
      <c r="J644" s="26">
        <v>0</v>
      </c>
    </row>
    <row r="645" spans="1:10" x14ac:dyDescent="0.2">
      <c r="A645" s="53"/>
      <c r="B645" s="53"/>
      <c r="C645" s="46"/>
      <c r="D645" s="55"/>
      <c r="E645" s="53"/>
      <c r="F645" s="53"/>
      <c r="H645" s="123">
        <f t="shared" si="172"/>
        <v>0</v>
      </c>
      <c r="I645" s="42"/>
      <c r="J645" s="26">
        <v>0</v>
      </c>
    </row>
    <row r="646" spans="1:10" x14ac:dyDescent="0.2">
      <c r="A646" s="53"/>
      <c r="B646" s="53"/>
      <c r="C646" s="46"/>
      <c r="D646" s="55"/>
      <c r="E646" s="53"/>
      <c r="F646" s="53"/>
      <c r="H646" s="123">
        <f t="shared" si="172"/>
        <v>0</v>
      </c>
      <c r="I646" s="42"/>
      <c r="J646" s="26">
        <v>0</v>
      </c>
    </row>
    <row r="647" spans="1:10" x14ac:dyDescent="0.2">
      <c r="A647" s="53"/>
      <c r="B647" s="53"/>
      <c r="C647" s="46"/>
      <c r="D647" s="55"/>
      <c r="E647" s="53"/>
      <c r="F647" s="53"/>
      <c r="H647" s="123">
        <f t="shared" si="172"/>
        <v>0</v>
      </c>
      <c r="I647" s="42"/>
      <c r="J647" s="26">
        <v>0</v>
      </c>
    </row>
    <row r="648" spans="1:10" x14ac:dyDescent="0.2">
      <c r="A648" s="53"/>
      <c r="B648" s="53"/>
      <c r="C648" s="46"/>
      <c r="D648" s="55"/>
      <c r="E648" s="53"/>
      <c r="F648" s="53"/>
      <c r="H648" s="123">
        <f t="shared" si="172"/>
        <v>0</v>
      </c>
      <c r="I648" s="42"/>
      <c r="J648" s="26">
        <v>0</v>
      </c>
    </row>
    <row r="649" spans="1:10" x14ac:dyDescent="0.2">
      <c r="A649" s="53"/>
      <c r="B649" s="53"/>
      <c r="C649" s="46"/>
      <c r="D649" s="55"/>
      <c r="E649" s="53"/>
      <c r="F649" s="53"/>
      <c r="H649" s="123">
        <f t="shared" si="172"/>
        <v>0</v>
      </c>
      <c r="I649" s="42"/>
      <c r="J649" s="26">
        <v>0</v>
      </c>
    </row>
    <row r="650" spans="1:10" x14ac:dyDescent="0.2">
      <c r="A650" s="53"/>
      <c r="B650" s="53"/>
      <c r="C650" s="46"/>
      <c r="D650" s="55"/>
      <c r="E650" s="53"/>
      <c r="F650" s="53"/>
      <c r="H650" s="123">
        <f t="shared" si="172"/>
        <v>0</v>
      </c>
      <c r="I650" s="42"/>
      <c r="J650" s="26">
        <v>0</v>
      </c>
    </row>
    <row r="651" spans="1:10" x14ac:dyDescent="0.2">
      <c r="A651" s="53"/>
      <c r="B651" s="53"/>
      <c r="C651" s="46"/>
      <c r="D651" s="55"/>
      <c r="E651" s="53"/>
      <c r="F651" s="53"/>
      <c r="H651" s="123">
        <f t="shared" si="172"/>
        <v>0</v>
      </c>
      <c r="I651" s="42"/>
      <c r="J651" s="26">
        <v>0</v>
      </c>
    </row>
    <row r="652" spans="1:10" x14ac:dyDescent="0.2">
      <c r="A652" s="53"/>
      <c r="B652" s="53"/>
      <c r="C652" s="46"/>
      <c r="D652" s="55"/>
      <c r="E652" s="53"/>
      <c r="F652" s="53"/>
      <c r="H652" s="123">
        <f t="shared" si="172"/>
        <v>0</v>
      </c>
      <c r="I652" s="42"/>
      <c r="J652" s="26">
        <v>0</v>
      </c>
    </row>
    <row r="653" spans="1:10" x14ac:dyDescent="0.2">
      <c r="A653" s="53"/>
      <c r="B653" s="53"/>
      <c r="C653" s="46"/>
      <c r="D653" s="55"/>
      <c r="E653" s="53"/>
      <c r="F653" s="53"/>
      <c r="H653" s="123">
        <f t="shared" si="172"/>
        <v>0</v>
      </c>
      <c r="I653" s="42"/>
      <c r="J653" s="26">
        <v>0</v>
      </c>
    </row>
    <row r="654" spans="1:10" x14ac:dyDescent="0.2">
      <c r="A654" s="53"/>
      <c r="B654" s="53"/>
      <c r="C654" s="46"/>
      <c r="D654" s="55"/>
      <c r="E654" s="53"/>
      <c r="F654" s="53"/>
      <c r="H654" s="123">
        <f t="shared" si="172"/>
        <v>0</v>
      </c>
      <c r="I654" s="42"/>
      <c r="J654" s="26">
        <v>0</v>
      </c>
    </row>
    <row r="655" spans="1:10" x14ac:dyDescent="0.2">
      <c r="A655" s="53"/>
      <c r="B655" s="53"/>
      <c r="C655" s="46"/>
      <c r="D655" s="55"/>
      <c r="E655" s="53"/>
      <c r="F655" s="53"/>
      <c r="H655" s="123">
        <f t="shared" si="172"/>
        <v>0</v>
      </c>
      <c r="I655" s="42"/>
      <c r="J655" s="26">
        <v>0</v>
      </c>
    </row>
    <row r="656" spans="1:10" x14ac:dyDescent="0.2">
      <c r="A656" s="53"/>
      <c r="B656" s="53"/>
      <c r="C656" s="46"/>
      <c r="D656" s="55"/>
      <c r="E656" s="53"/>
      <c r="F656" s="53"/>
      <c r="H656" s="123">
        <f t="shared" si="172"/>
        <v>0</v>
      </c>
      <c r="I656" s="42"/>
      <c r="J656" s="26">
        <v>0</v>
      </c>
    </row>
    <row r="657" spans="1:10" x14ac:dyDescent="0.2">
      <c r="A657" s="53"/>
      <c r="B657" s="53"/>
      <c r="C657" s="46"/>
      <c r="D657" s="55"/>
      <c r="E657" s="53"/>
      <c r="F657" s="53"/>
      <c r="H657" s="123">
        <f t="shared" si="172"/>
        <v>0</v>
      </c>
      <c r="I657" s="42"/>
      <c r="J657" s="26">
        <v>0</v>
      </c>
    </row>
    <row r="658" spans="1:10" x14ac:dyDescent="0.2">
      <c r="A658" s="53"/>
      <c r="B658" s="53"/>
      <c r="C658" s="46"/>
      <c r="D658" s="55"/>
      <c r="E658" s="53"/>
      <c r="F658" s="53"/>
      <c r="H658" s="123">
        <f t="shared" si="172"/>
        <v>0</v>
      </c>
      <c r="I658" s="42"/>
      <c r="J658" s="26">
        <v>0</v>
      </c>
    </row>
    <row r="659" spans="1:10" x14ac:dyDescent="0.2">
      <c r="A659" s="53"/>
      <c r="B659" s="53"/>
      <c r="C659" s="46"/>
      <c r="D659" s="55"/>
      <c r="E659" s="53"/>
      <c r="F659" s="53"/>
      <c r="H659" s="123">
        <f t="shared" si="172"/>
        <v>0</v>
      </c>
      <c r="I659" s="42"/>
      <c r="J659" s="26">
        <v>0</v>
      </c>
    </row>
    <row r="660" spans="1:10" x14ac:dyDescent="0.2">
      <c r="A660" s="53"/>
      <c r="B660" s="53"/>
      <c r="C660" s="46"/>
      <c r="D660" s="55"/>
      <c r="E660" s="53"/>
      <c r="F660" s="53"/>
      <c r="H660" s="123">
        <f t="shared" si="172"/>
        <v>0</v>
      </c>
      <c r="I660" s="42"/>
      <c r="J660" s="26">
        <v>0</v>
      </c>
    </row>
    <row r="661" spans="1:10" x14ac:dyDescent="0.2">
      <c r="A661" s="53"/>
      <c r="B661" s="53"/>
      <c r="C661" s="46"/>
      <c r="D661" s="55"/>
      <c r="E661" s="53"/>
      <c r="F661" s="53"/>
      <c r="H661" s="123">
        <f t="shared" si="172"/>
        <v>0</v>
      </c>
      <c r="I661" s="42"/>
      <c r="J661" s="26">
        <v>0</v>
      </c>
    </row>
    <row r="662" spans="1:10" x14ac:dyDescent="0.2">
      <c r="A662" s="53"/>
      <c r="B662" s="53"/>
      <c r="C662" s="46"/>
      <c r="D662" s="55"/>
      <c r="E662" s="53"/>
      <c r="F662" s="53"/>
      <c r="H662" s="123">
        <f t="shared" si="172"/>
        <v>0</v>
      </c>
      <c r="I662" s="42"/>
      <c r="J662" s="26">
        <v>0</v>
      </c>
    </row>
    <row r="663" spans="1:10" x14ac:dyDescent="0.2">
      <c r="A663" s="53"/>
      <c r="B663" s="53"/>
      <c r="C663" s="46"/>
      <c r="D663" s="55"/>
      <c r="E663" s="53"/>
      <c r="F663" s="53"/>
      <c r="H663" s="123">
        <f t="shared" si="172"/>
        <v>0</v>
      </c>
      <c r="I663" s="42"/>
      <c r="J663" s="26">
        <v>0</v>
      </c>
    </row>
    <row r="664" spans="1:10" x14ac:dyDescent="0.2">
      <c r="A664" s="53"/>
      <c r="B664" s="53"/>
      <c r="C664" s="46"/>
      <c r="D664" s="55"/>
      <c r="E664" s="53"/>
      <c r="F664" s="53"/>
      <c r="H664" s="123">
        <f t="shared" si="172"/>
        <v>0</v>
      </c>
      <c r="I664" s="42"/>
      <c r="J664" s="26">
        <v>0</v>
      </c>
    </row>
    <row r="665" spans="1:10" x14ac:dyDescent="0.2">
      <c r="A665" s="53"/>
      <c r="B665" s="53"/>
      <c r="C665" s="46"/>
      <c r="D665" s="55"/>
      <c r="E665" s="53"/>
      <c r="F665" s="53"/>
      <c r="H665" s="123">
        <f t="shared" si="172"/>
        <v>0</v>
      </c>
      <c r="I665" s="42"/>
      <c r="J665" s="26">
        <v>0</v>
      </c>
    </row>
    <row r="666" spans="1:10" x14ac:dyDescent="0.2">
      <c r="A666" s="53"/>
      <c r="B666" s="53"/>
      <c r="C666" s="46"/>
      <c r="D666" s="55"/>
      <c r="E666" s="53"/>
      <c r="F666" s="53"/>
      <c r="H666" s="123">
        <f t="shared" si="172"/>
        <v>0</v>
      </c>
      <c r="I666" s="42"/>
      <c r="J666" s="26">
        <v>0</v>
      </c>
    </row>
    <row r="667" spans="1:10" x14ac:dyDescent="0.2">
      <c r="A667" s="53"/>
      <c r="B667" s="53"/>
      <c r="C667" s="46"/>
      <c r="D667" s="55"/>
      <c r="E667" s="53"/>
      <c r="F667" s="53"/>
      <c r="H667" s="123">
        <f t="shared" si="172"/>
        <v>0</v>
      </c>
      <c r="I667" s="42"/>
      <c r="J667" s="26">
        <v>0</v>
      </c>
    </row>
    <row r="668" spans="1:10" x14ac:dyDescent="0.2">
      <c r="A668" s="53"/>
      <c r="B668" s="53"/>
      <c r="C668" s="46"/>
      <c r="D668" s="55"/>
      <c r="E668" s="53"/>
      <c r="F668" s="53"/>
      <c r="H668" s="123">
        <f t="shared" si="172"/>
        <v>0</v>
      </c>
      <c r="I668" s="42"/>
      <c r="J668" s="26">
        <v>0</v>
      </c>
    </row>
    <row r="669" spans="1:10" x14ac:dyDescent="0.2">
      <c r="A669" s="53"/>
      <c r="B669" s="53"/>
      <c r="C669" s="46"/>
      <c r="D669" s="55"/>
      <c r="E669" s="53"/>
      <c r="F669" s="53"/>
      <c r="H669" s="123">
        <f t="shared" si="172"/>
        <v>0</v>
      </c>
      <c r="I669" s="42"/>
      <c r="J669" s="26">
        <v>0</v>
      </c>
    </row>
    <row r="670" spans="1:10" x14ac:dyDescent="0.2">
      <c r="A670" s="53"/>
      <c r="B670" s="53"/>
      <c r="C670" s="46"/>
      <c r="D670" s="55"/>
      <c r="E670" s="53"/>
      <c r="F670" s="53"/>
      <c r="H670" s="123">
        <f t="shared" si="172"/>
        <v>0</v>
      </c>
      <c r="I670" s="42"/>
      <c r="J670" s="26">
        <v>0</v>
      </c>
    </row>
    <row r="671" spans="1:10" x14ac:dyDescent="0.2">
      <c r="A671" s="53"/>
      <c r="B671" s="53"/>
      <c r="C671" s="46"/>
      <c r="D671" s="55"/>
      <c r="E671" s="53"/>
      <c r="F671" s="53"/>
      <c r="H671" s="123">
        <f t="shared" ref="H671:H734" si="173">E671+G671</f>
        <v>0</v>
      </c>
      <c r="I671" s="42"/>
      <c r="J671" s="26">
        <v>0</v>
      </c>
    </row>
    <row r="672" spans="1:10" x14ac:dyDescent="0.2">
      <c r="A672" s="53"/>
      <c r="B672" s="53"/>
      <c r="C672" s="46"/>
      <c r="D672" s="55"/>
      <c r="E672" s="53"/>
      <c r="F672" s="53"/>
      <c r="H672" s="123">
        <f t="shared" si="173"/>
        <v>0</v>
      </c>
      <c r="I672" s="42"/>
      <c r="J672" s="26">
        <v>0</v>
      </c>
    </row>
    <row r="673" spans="1:10" x14ac:dyDescent="0.2">
      <c r="A673" s="53"/>
      <c r="B673" s="53"/>
      <c r="C673" s="46"/>
      <c r="D673" s="55"/>
      <c r="E673" s="53"/>
      <c r="F673" s="53"/>
      <c r="H673" s="123">
        <f t="shared" si="173"/>
        <v>0</v>
      </c>
      <c r="I673" s="42"/>
      <c r="J673" s="26">
        <v>0</v>
      </c>
    </row>
    <row r="674" spans="1:10" x14ac:dyDescent="0.2">
      <c r="A674" s="53"/>
      <c r="B674" s="53"/>
      <c r="C674" s="46"/>
      <c r="D674" s="55"/>
      <c r="E674" s="53"/>
      <c r="F674" s="53"/>
      <c r="H674" s="123">
        <f t="shared" si="173"/>
        <v>0</v>
      </c>
      <c r="I674" s="42"/>
      <c r="J674" s="26">
        <v>0</v>
      </c>
    </row>
    <row r="675" spans="1:10" x14ac:dyDescent="0.2">
      <c r="A675" s="53"/>
      <c r="B675" s="53"/>
      <c r="C675" s="46"/>
      <c r="D675" s="55"/>
      <c r="E675" s="53"/>
      <c r="F675" s="53"/>
      <c r="H675" s="123">
        <f t="shared" si="173"/>
        <v>0</v>
      </c>
      <c r="I675" s="42"/>
      <c r="J675" s="26">
        <v>0</v>
      </c>
    </row>
    <row r="676" spans="1:10" x14ac:dyDescent="0.2">
      <c r="A676" s="53"/>
      <c r="B676" s="53"/>
      <c r="C676" s="46"/>
      <c r="D676" s="55"/>
      <c r="E676" s="53"/>
      <c r="F676" s="53"/>
      <c r="H676" s="123">
        <f t="shared" si="173"/>
        <v>0</v>
      </c>
      <c r="I676" s="42"/>
      <c r="J676" s="26">
        <v>0</v>
      </c>
    </row>
    <row r="677" spans="1:10" x14ac:dyDescent="0.2">
      <c r="A677" s="53"/>
      <c r="B677" s="53"/>
      <c r="C677" s="46"/>
      <c r="D677" s="55"/>
      <c r="E677" s="53"/>
      <c r="F677" s="53"/>
      <c r="H677" s="123">
        <f t="shared" si="173"/>
        <v>0</v>
      </c>
      <c r="I677" s="42"/>
      <c r="J677" s="26">
        <v>0</v>
      </c>
    </row>
    <row r="678" spans="1:10" x14ac:dyDescent="0.2">
      <c r="A678" s="53"/>
      <c r="B678" s="53"/>
      <c r="C678" s="46"/>
      <c r="D678" s="55"/>
      <c r="E678" s="53"/>
      <c r="F678" s="53"/>
      <c r="H678" s="123">
        <f t="shared" si="173"/>
        <v>0</v>
      </c>
      <c r="I678" s="42"/>
      <c r="J678" s="26">
        <v>0</v>
      </c>
    </row>
    <row r="679" spans="1:10" x14ac:dyDescent="0.2">
      <c r="A679" s="53"/>
      <c r="B679" s="53"/>
      <c r="C679" s="46"/>
      <c r="D679" s="55"/>
      <c r="E679" s="53"/>
      <c r="F679" s="53"/>
      <c r="H679" s="123">
        <f t="shared" si="173"/>
        <v>0</v>
      </c>
      <c r="I679" s="42"/>
      <c r="J679" s="26">
        <v>0</v>
      </c>
    </row>
    <row r="680" spans="1:10" x14ac:dyDescent="0.2">
      <c r="A680" s="53"/>
      <c r="B680" s="53"/>
      <c r="C680" s="46"/>
      <c r="D680" s="55"/>
      <c r="E680" s="53"/>
      <c r="F680" s="53"/>
      <c r="H680" s="123">
        <f t="shared" si="173"/>
        <v>0</v>
      </c>
      <c r="I680" s="42"/>
      <c r="J680" s="26">
        <v>0</v>
      </c>
    </row>
    <row r="681" spans="1:10" x14ac:dyDescent="0.2">
      <c r="A681" s="53"/>
      <c r="B681" s="53"/>
      <c r="C681" s="46"/>
      <c r="D681" s="55"/>
      <c r="E681" s="53"/>
      <c r="F681" s="53"/>
      <c r="H681" s="123">
        <f t="shared" si="173"/>
        <v>0</v>
      </c>
      <c r="I681" s="42"/>
      <c r="J681" s="26">
        <v>0</v>
      </c>
    </row>
    <row r="682" spans="1:10" x14ac:dyDescent="0.2">
      <c r="A682" s="53"/>
      <c r="B682" s="53"/>
      <c r="C682" s="46"/>
      <c r="D682" s="55"/>
      <c r="E682" s="53"/>
      <c r="F682" s="53"/>
      <c r="H682" s="123">
        <f t="shared" si="173"/>
        <v>0</v>
      </c>
      <c r="I682" s="42"/>
      <c r="J682" s="26">
        <v>0</v>
      </c>
    </row>
    <row r="683" spans="1:10" x14ac:dyDescent="0.2">
      <c r="A683" s="53"/>
      <c r="B683" s="53"/>
      <c r="C683" s="46"/>
      <c r="D683" s="55"/>
      <c r="E683" s="53"/>
      <c r="F683" s="53"/>
      <c r="H683" s="123">
        <f t="shared" si="173"/>
        <v>0</v>
      </c>
      <c r="I683" s="42"/>
      <c r="J683" s="26">
        <v>0</v>
      </c>
    </row>
    <row r="684" spans="1:10" x14ac:dyDescent="0.2">
      <c r="A684" s="53"/>
      <c r="B684" s="53"/>
      <c r="C684" s="46"/>
      <c r="D684" s="55"/>
      <c r="E684" s="53"/>
      <c r="F684" s="53"/>
      <c r="H684" s="123">
        <f t="shared" si="173"/>
        <v>0</v>
      </c>
      <c r="I684" s="42"/>
      <c r="J684" s="26">
        <v>0</v>
      </c>
    </row>
    <row r="685" spans="1:10" x14ac:dyDescent="0.2">
      <c r="A685" s="53"/>
      <c r="B685" s="53"/>
      <c r="C685" s="46"/>
      <c r="D685" s="55"/>
      <c r="E685" s="53"/>
      <c r="F685" s="53"/>
      <c r="H685" s="123">
        <f t="shared" si="173"/>
        <v>0</v>
      </c>
      <c r="I685" s="42"/>
      <c r="J685" s="26">
        <v>0</v>
      </c>
    </row>
    <row r="686" spans="1:10" x14ac:dyDescent="0.2">
      <c r="A686" s="53"/>
      <c r="B686" s="53"/>
      <c r="C686" s="46"/>
      <c r="D686" s="55"/>
      <c r="E686" s="53"/>
      <c r="F686" s="53"/>
      <c r="H686" s="123">
        <f t="shared" si="173"/>
        <v>0</v>
      </c>
      <c r="I686" s="42"/>
      <c r="J686" s="26">
        <v>0</v>
      </c>
    </row>
    <row r="687" spans="1:10" x14ac:dyDescent="0.2">
      <c r="A687" s="53"/>
      <c r="B687" s="53"/>
      <c r="C687" s="46"/>
      <c r="D687" s="55"/>
      <c r="E687" s="53"/>
      <c r="F687" s="53"/>
      <c r="H687" s="123">
        <f t="shared" si="173"/>
        <v>0</v>
      </c>
      <c r="I687" s="42"/>
      <c r="J687" s="26">
        <v>0</v>
      </c>
    </row>
    <row r="688" spans="1:10" x14ac:dyDescent="0.2">
      <c r="A688" s="53"/>
      <c r="B688" s="53"/>
      <c r="C688" s="46"/>
      <c r="D688" s="55"/>
      <c r="E688" s="53"/>
      <c r="F688" s="53"/>
      <c r="H688" s="123">
        <f t="shared" si="173"/>
        <v>0</v>
      </c>
      <c r="I688" s="42"/>
      <c r="J688" s="26">
        <v>0</v>
      </c>
    </row>
    <row r="689" spans="1:10" x14ac:dyDescent="0.2">
      <c r="A689" s="53"/>
      <c r="B689" s="53"/>
      <c r="C689" s="46"/>
      <c r="D689" s="55"/>
      <c r="E689" s="53"/>
      <c r="F689" s="53"/>
      <c r="H689" s="123">
        <f t="shared" si="173"/>
        <v>0</v>
      </c>
      <c r="I689" s="42"/>
      <c r="J689" s="26">
        <v>0</v>
      </c>
    </row>
    <row r="690" spans="1:10" x14ac:dyDescent="0.2">
      <c r="A690" s="53"/>
      <c r="B690" s="53"/>
      <c r="C690" s="46"/>
      <c r="D690" s="55"/>
      <c r="E690" s="53"/>
      <c r="F690" s="53"/>
      <c r="H690" s="123">
        <f t="shared" si="173"/>
        <v>0</v>
      </c>
      <c r="I690" s="42"/>
      <c r="J690" s="26">
        <v>0</v>
      </c>
    </row>
    <row r="691" spans="1:10" x14ac:dyDescent="0.2">
      <c r="A691" s="53"/>
      <c r="B691" s="53"/>
      <c r="C691" s="46"/>
      <c r="D691" s="55"/>
      <c r="E691" s="53"/>
      <c r="F691" s="53"/>
      <c r="H691" s="123">
        <f t="shared" si="173"/>
        <v>0</v>
      </c>
      <c r="I691" s="42"/>
      <c r="J691" s="26">
        <v>0</v>
      </c>
    </row>
    <row r="692" spans="1:10" x14ac:dyDescent="0.2">
      <c r="A692" s="53"/>
      <c r="B692" s="53"/>
      <c r="C692" s="46"/>
      <c r="D692" s="55"/>
      <c r="E692" s="53"/>
      <c r="F692" s="53"/>
      <c r="H692" s="123">
        <f t="shared" si="173"/>
        <v>0</v>
      </c>
      <c r="I692" s="42"/>
      <c r="J692" s="26">
        <v>0</v>
      </c>
    </row>
    <row r="693" spans="1:10" x14ac:dyDescent="0.2">
      <c r="A693" s="53"/>
      <c r="B693" s="53"/>
      <c r="C693" s="46"/>
      <c r="D693" s="55"/>
      <c r="E693" s="53"/>
      <c r="F693" s="53"/>
      <c r="H693" s="123">
        <f t="shared" si="173"/>
        <v>0</v>
      </c>
      <c r="I693" s="42"/>
      <c r="J693" s="26">
        <v>0</v>
      </c>
    </row>
    <row r="694" spans="1:10" x14ac:dyDescent="0.2">
      <c r="A694" s="53"/>
      <c r="B694" s="53"/>
      <c r="C694" s="46"/>
      <c r="D694" s="55"/>
      <c r="E694" s="53"/>
      <c r="F694" s="53"/>
      <c r="H694" s="123">
        <f t="shared" si="173"/>
        <v>0</v>
      </c>
      <c r="I694" s="42"/>
      <c r="J694" s="26">
        <v>0</v>
      </c>
    </row>
    <row r="695" spans="1:10" x14ac:dyDescent="0.2">
      <c r="A695" s="53"/>
      <c r="B695" s="53"/>
      <c r="C695" s="46"/>
      <c r="D695" s="55"/>
      <c r="E695" s="53"/>
      <c r="F695" s="53"/>
      <c r="H695" s="123">
        <f t="shared" si="173"/>
        <v>0</v>
      </c>
      <c r="I695" s="42"/>
      <c r="J695" s="26">
        <v>0</v>
      </c>
    </row>
    <row r="696" spans="1:10" x14ac:dyDescent="0.2">
      <c r="A696" s="53"/>
      <c r="B696" s="53"/>
      <c r="C696" s="46"/>
      <c r="D696" s="55"/>
      <c r="E696" s="53"/>
      <c r="F696" s="53"/>
      <c r="H696" s="123">
        <f t="shared" si="173"/>
        <v>0</v>
      </c>
      <c r="I696" s="42"/>
      <c r="J696" s="26">
        <v>0</v>
      </c>
    </row>
    <row r="697" spans="1:10" x14ac:dyDescent="0.2">
      <c r="A697" s="53"/>
      <c r="B697" s="53"/>
      <c r="C697" s="46"/>
      <c r="D697" s="55"/>
      <c r="E697" s="53"/>
      <c r="F697" s="53"/>
      <c r="H697" s="123">
        <f t="shared" si="173"/>
        <v>0</v>
      </c>
      <c r="I697" s="42"/>
      <c r="J697" s="26">
        <v>0</v>
      </c>
    </row>
    <row r="698" spans="1:10" x14ac:dyDescent="0.2">
      <c r="A698" s="53"/>
      <c r="B698" s="53"/>
      <c r="C698" s="46"/>
      <c r="D698" s="55"/>
      <c r="E698" s="53"/>
      <c r="F698" s="53"/>
      <c r="H698" s="123">
        <f t="shared" si="173"/>
        <v>0</v>
      </c>
      <c r="I698" s="42"/>
      <c r="J698" s="26">
        <v>0</v>
      </c>
    </row>
    <row r="699" spans="1:10" x14ac:dyDescent="0.2">
      <c r="A699" s="53"/>
      <c r="B699" s="53"/>
      <c r="C699" s="46"/>
      <c r="D699" s="55"/>
      <c r="E699" s="53"/>
      <c r="F699" s="53"/>
      <c r="H699" s="123">
        <f t="shared" si="173"/>
        <v>0</v>
      </c>
      <c r="I699" s="42"/>
      <c r="J699" s="26">
        <v>0</v>
      </c>
    </row>
    <row r="700" spans="1:10" x14ac:dyDescent="0.2">
      <c r="A700" s="53"/>
      <c r="B700" s="53"/>
      <c r="C700" s="46"/>
      <c r="D700" s="55"/>
      <c r="E700" s="53"/>
      <c r="F700" s="53"/>
      <c r="H700" s="123">
        <f t="shared" si="173"/>
        <v>0</v>
      </c>
      <c r="I700" s="42"/>
      <c r="J700" s="26">
        <v>0</v>
      </c>
    </row>
    <row r="701" spans="1:10" x14ac:dyDescent="0.2">
      <c r="A701" s="53"/>
      <c r="B701" s="53"/>
      <c r="C701" s="46"/>
      <c r="D701" s="55"/>
      <c r="E701" s="53"/>
      <c r="F701" s="53"/>
      <c r="H701" s="123">
        <f t="shared" si="173"/>
        <v>0</v>
      </c>
      <c r="I701" s="42"/>
      <c r="J701" s="26">
        <v>0</v>
      </c>
    </row>
    <row r="702" spans="1:10" x14ac:dyDescent="0.2">
      <c r="A702" s="53"/>
      <c r="B702" s="53"/>
      <c r="C702" s="46"/>
      <c r="D702" s="55"/>
      <c r="E702" s="53"/>
      <c r="F702" s="53"/>
      <c r="H702" s="123">
        <f t="shared" si="173"/>
        <v>0</v>
      </c>
      <c r="I702" s="42"/>
      <c r="J702" s="26">
        <v>0</v>
      </c>
    </row>
    <row r="703" spans="1:10" x14ac:dyDescent="0.2">
      <c r="A703" s="53"/>
      <c r="B703" s="53"/>
      <c r="C703" s="46"/>
      <c r="D703" s="55"/>
      <c r="E703" s="53"/>
      <c r="F703" s="53"/>
      <c r="H703" s="123">
        <f t="shared" si="173"/>
        <v>0</v>
      </c>
      <c r="I703" s="42"/>
      <c r="J703" s="26">
        <v>0</v>
      </c>
    </row>
    <row r="704" spans="1:10" x14ac:dyDescent="0.2">
      <c r="A704" s="53"/>
      <c r="B704" s="53"/>
      <c r="C704" s="46"/>
      <c r="D704" s="55"/>
      <c r="E704" s="53"/>
      <c r="F704" s="53"/>
      <c r="H704" s="123">
        <f t="shared" si="173"/>
        <v>0</v>
      </c>
      <c r="I704" s="42"/>
      <c r="J704" s="26">
        <v>0</v>
      </c>
    </row>
    <row r="705" spans="1:10" x14ac:dyDescent="0.2">
      <c r="A705" s="53"/>
      <c r="B705" s="53"/>
      <c r="C705" s="46"/>
      <c r="D705" s="55"/>
      <c r="E705" s="53"/>
      <c r="F705" s="53"/>
      <c r="H705" s="123">
        <f t="shared" si="173"/>
        <v>0</v>
      </c>
      <c r="I705" s="42"/>
      <c r="J705" s="26">
        <v>0</v>
      </c>
    </row>
    <row r="706" spans="1:10" x14ac:dyDescent="0.2">
      <c r="A706" s="53"/>
      <c r="B706" s="53"/>
      <c r="C706" s="46"/>
      <c r="D706" s="55"/>
      <c r="E706" s="53"/>
      <c r="F706" s="53"/>
      <c r="H706" s="123">
        <f t="shared" si="173"/>
        <v>0</v>
      </c>
      <c r="I706" s="42"/>
      <c r="J706" s="26">
        <v>0</v>
      </c>
    </row>
    <row r="707" spans="1:10" x14ac:dyDescent="0.2">
      <c r="A707" s="53"/>
      <c r="B707" s="53"/>
      <c r="C707" s="46"/>
      <c r="D707" s="55"/>
      <c r="E707" s="53"/>
      <c r="F707" s="53"/>
      <c r="H707" s="123">
        <f t="shared" si="173"/>
        <v>0</v>
      </c>
      <c r="I707" s="42"/>
      <c r="J707" s="26">
        <v>0</v>
      </c>
    </row>
    <row r="708" spans="1:10" x14ac:dyDescent="0.2">
      <c r="A708" s="53"/>
      <c r="B708" s="53"/>
      <c r="C708" s="46"/>
      <c r="D708" s="55"/>
      <c r="E708" s="53"/>
      <c r="F708" s="53"/>
      <c r="H708" s="123">
        <f t="shared" si="173"/>
        <v>0</v>
      </c>
      <c r="I708" s="42"/>
      <c r="J708" s="26">
        <v>0</v>
      </c>
    </row>
    <row r="709" spans="1:10" x14ac:dyDescent="0.2">
      <c r="A709" s="53"/>
      <c r="B709" s="53"/>
      <c r="C709" s="46"/>
      <c r="D709" s="55"/>
      <c r="E709" s="53"/>
      <c r="F709" s="53"/>
      <c r="H709" s="123">
        <f t="shared" si="173"/>
        <v>0</v>
      </c>
      <c r="I709" s="42"/>
      <c r="J709" s="26">
        <v>0</v>
      </c>
    </row>
    <row r="710" spans="1:10" x14ac:dyDescent="0.2">
      <c r="A710" s="53"/>
      <c r="B710" s="53"/>
      <c r="C710" s="46"/>
      <c r="D710" s="55"/>
      <c r="E710" s="53"/>
      <c r="F710" s="53"/>
      <c r="H710" s="123">
        <f t="shared" si="173"/>
        <v>0</v>
      </c>
      <c r="I710" s="42"/>
      <c r="J710" s="26">
        <v>0</v>
      </c>
    </row>
    <row r="711" spans="1:10" x14ac:dyDescent="0.2">
      <c r="A711" s="53"/>
      <c r="B711" s="53"/>
      <c r="C711" s="46"/>
      <c r="D711" s="55"/>
      <c r="E711" s="53"/>
      <c r="F711" s="53"/>
      <c r="H711" s="123">
        <f t="shared" si="173"/>
        <v>0</v>
      </c>
      <c r="I711" s="42"/>
      <c r="J711" s="26">
        <v>0</v>
      </c>
    </row>
    <row r="712" spans="1:10" x14ac:dyDescent="0.2">
      <c r="A712" s="53"/>
      <c r="B712" s="53"/>
      <c r="C712" s="46"/>
      <c r="D712" s="55"/>
      <c r="E712" s="53"/>
      <c r="F712" s="53"/>
      <c r="H712" s="123">
        <f t="shared" si="173"/>
        <v>0</v>
      </c>
      <c r="I712" s="42"/>
      <c r="J712" s="26">
        <v>0</v>
      </c>
    </row>
    <row r="713" spans="1:10" x14ac:dyDescent="0.2">
      <c r="A713" s="53"/>
      <c r="B713" s="53"/>
      <c r="C713" s="46"/>
      <c r="D713" s="55"/>
      <c r="E713" s="53"/>
      <c r="F713" s="53"/>
      <c r="H713" s="123">
        <f t="shared" si="173"/>
        <v>0</v>
      </c>
      <c r="I713" s="42"/>
      <c r="J713" s="26">
        <v>0</v>
      </c>
    </row>
    <row r="714" spans="1:10" x14ac:dyDescent="0.2">
      <c r="A714" s="53"/>
      <c r="B714" s="53"/>
      <c r="C714" s="46"/>
      <c r="D714" s="55"/>
      <c r="E714" s="53"/>
      <c r="F714" s="53"/>
      <c r="H714" s="123">
        <f t="shared" si="173"/>
        <v>0</v>
      </c>
      <c r="I714" s="42"/>
      <c r="J714" s="26">
        <v>0</v>
      </c>
    </row>
    <row r="715" spans="1:10" x14ac:dyDescent="0.2">
      <c r="A715" s="53"/>
      <c r="B715" s="53"/>
      <c r="C715" s="46"/>
      <c r="D715" s="55"/>
      <c r="E715" s="53"/>
      <c r="F715" s="53"/>
      <c r="H715" s="123">
        <f t="shared" si="173"/>
        <v>0</v>
      </c>
      <c r="I715" s="42"/>
      <c r="J715" s="26">
        <v>0</v>
      </c>
    </row>
    <row r="716" spans="1:10" x14ac:dyDescent="0.2">
      <c r="A716" s="53"/>
      <c r="B716" s="53"/>
      <c r="C716" s="46"/>
      <c r="D716" s="55"/>
      <c r="E716" s="53"/>
      <c r="F716" s="53"/>
      <c r="H716" s="123">
        <f t="shared" si="173"/>
        <v>0</v>
      </c>
      <c r="I716" s="42"/>
      <c r="J716" s="26">
        <v>0</v>
      </c>
    </row>
    <row r="717" spans="1:10" x14ac:dyDescent="0.2">
      <c r="A717" s="53"/>
      <c r="B717" s="53"/>
      <c r="C717" s="46"/>
      <c r="D717" s="55"/>
      <c r="E717" s="53"/>
      <c r="F717" s="53"/>
      <c r="H717" s="123">
        <f t="shared" si="173"/>
        <v>0</v>
      </c>
      <c r="I717" s="42"/>
      <c r="J717" s="26">
        <v>0</v>
      </c>
    </row>
    <row r="718" spans="1:10" x14ac:dyDescent="0.2">
      <c r="A718" s="53"/>
      <c r="B718" s="53"/>
      <c r="C718" s="46"/>
      <c r="D718" s="55"/>
      <c r="E718" s="53"/>
      <c r="F718" s="53"/>
      <c r="H718" s="123">
        <f t="shared" si="173"/>
        <v>0</v>
      </c>
      <c r="I718" s="42"/>
      <c r="J718" s="26">
        <v>0</v>
      </c>
    </row>
    <row r="719" spans="1:10" x14ac:dyDescent="0.2">
      <c r="A719" s="53"/>
      <c r="B719" s="53"/>
      <c r="C719" s="46"/>
      <c r="D719" s="55"/>
      <c r="E719" s="53"/>
      <c r="F719" s="53"/>
      <c r="H719" s="123">
        <f t="shared" si="173"/>
        <v>0</v>
      </c>
      <c r="I719" s="42"/>
      <c r="J719" s="26">
        <v>0</v>
      </c>
    </row>
    <row r="720" spans="1:10" x14ac:dyDescent="0.2">
      <c r="A720" s="53"/>
      <c r="B720" s="53"/>
      <c r="C720" s="46"/>
      <c r="D720" s="55"/>
      <c r="E720" s="53"/>
      <c r="F720" s="53"/>
      <c r="H720" s="123">
        <f t="shared" si="173"/>
        <v>0</v>
      </c>
      <c r="I720" s="42"/>
      <c r="J720" s="26">
        <v>0</v>
      </c>
    </row>
    <row r="721" spans="1:10" x14ac:dyDescent="0.2">
      <c r="A721" s="53"/>
      <c r="B721" s="53"/>
      <c r="C721" s="46"/>
      <c r="D721" s="55"/>
      <c r="E721" s="53"/>
      <c r="F721" s="53"/>
      <c r="H721" s="123">
        <f t="shared" si="173"/>
        <v>0</v>
      </c>
      <c r="I721" s="42"/>
      <c r="J721" s="26">
        <v>0</v>
      </c>
    </row>
    <row r="722" spans="1:10" x14ac:dyDescent="0.2">
      <c r="A722" s="53"/>
      <c r="B722" s="53"/>
      <c r="C722" s="46"/>
      <c r="D722" s="55"/>
      <c r="E722" s="53"/>
      <c r="F722" s="53"/>
      <c r="H722" s="123">
        <f t="shared" si="173"/>
        <v>0</v>
      </c>
      <c r="I722" s="42"/>
      <c r="J722" s="26">
        <v>0</v>
      </c>
    </row>
    <row r="723" spans="1:10" x14ac:dyDescent="0.2">
      <c r="A723" s="53"/>
      <c r="B723" s="53"/>
      <c r="C723" s="46"/>
      <c r="D723" s="55"/>
      <c r="E723" s="53"/>
      <c r="F723" s="53"/>
      <c r="H723" s="123">
        <f t="shared" si="173"/>
        <v>0</v>
      </c>
      <c r="I723" s="42"/>
      <c r="J723" s="26">
        <v>0</v>
      </c>
    </row>
    <row r="724" spans="1:10" x14ac:dyDescent="0.2">
      <c r="A724" s="53"/>
      <c r="B724" s="53"/>
      <c r="C724" s="46"/>
      <c r="D724" s="55"/>
      <c r="E724" s="53"/>
      <c r="F724" s="53"/>
      <c r="H724" s="123">
        <f t="shared" si="173"/>
        <v>0</v>
      </c>
      <c r="I724" s="42"/>
      <c r="J724" s="26">
        <v>0</v>
      </c>
    </row>
    <row r="725" spans="1:10" x14ac:dyDescent="0.2">
      <c r="A725" s="53"/>
      <c r="B725" s="53"/>
      <c r="C725" s="46"/>
      <c r="D725" s="55"/>
      <c r="E725" s="53"/>
      <c r="F725" s="53"/>
      <c r="H725" s="123">
        <f t="shared" si="173"/>
        <v>0</v>
      </c>
      <c r="I725" s="42"/>
      <c r="J725" s="26">
        <v>0</v>
      </c>
    </row>
    <row r="726" spans="1:10" x14ac:dyDescent="0.2">
      <c r="A726" s="53"/>
      <c r="B726" s="53"/>
      <c r="C726" s="46"/>
      <c r="D726" s="55"/>
      <c r="E726" s="53"/>
      <c r="F726" s="53"/>
      <c r="H726" s="123">
        <f t="shared" si="173"/>
        <v>0</v>
      </c>
      <c r="I726" s="42"/>
      <c r="J726" s="26">
        <v>0</v>
      </c>
    </row>
    <row r="727" spans="1:10" x14ac:dyDescent="0.2">
      <c r="A727" s="53"/>
      <c r="B727" s="53"/>
      <c r="C727" s="46"/>
      <c r="D727" s="55"/>
      <c r="E727" s="53"/>
      <c r="F727" s="53"/>
      <c r="H727" s="123">
        <f t="shared" si="173"/>
        <v>0</v>
      </c>
      <c r="I727" s="42"/>
      <c r="J727" s="26">
        <v>0</v>
      </c>
    </row>
    <row r="728" spans="1:10" x14ac:dyDescent="0.2">
      <c r="A728" s="53"/>
      <c r="B728" s="53"/>
      <c r="C728" s="46"/>
      <c r="D728" s="55"/>
      <c r="E728" s="53"/>
      <c r="F728" s="53"/>
      <c r="H728" s="123">
        <f t="shared" si="173"/>
        <v>0</v>
      </c>
      <c r="I728" s="42"/>
      <c r="J728" s="26">
        <v>0</v>
      </c>
    </row>
    <row r="729" spans="1:10" x14ac:dyDescent="0.2">
      <c r="A729" s="53"/>
      <c r="B729" s="53"/>
      <c r="C729" s="46"/>
      <c r="D729" s="55"/>
      <c r="E729" s="53"/>
      <c r="F729" s="53"/>
      <c r="H729" s="123">
        <f t="shared" si="173"/>
        <v>0</v>
      </c>
      <c r="I729" s="42"/>
      <c r="J729" s="26">
        <v>0</v>
      </c>
    </row>
    <row r="730" spans="1:10" x14ac:dyDescent="0.2">
      <c r="A730" s="53"/>
      <c r="B730" s="53"/>
      <c r="C730" s="46"/>
      <c r="D730" s="55"/>
      <c r="E730" s="53"/>
      <c r="F730" s="53"/>
      <c r="H730" s="123">
        <f t="shared" si="173"/>
        <v>0</v>
      </c>
      <c r="I730" s="42"/>
      <c r="J730" s="26">
        <v>0</v>
      </c>
    </row>
    <row r="731" spans="1:10" x14ac:dyDescent="0.2">
      <c r="A731" s="53"/>
      <c r="B731" s="53"/>
      <c r="C731" s="46"/>
      <c r="D731" s="55"/>
      <c r="E731" s="53"/>
      <c r="F731" s="53"/>
      <c r="H731" s="123">
        <f t="shared" si="173"/>
        <v>0</v>
      </c>
      <c r="I731" s="42"/>
      <c r="J731" s="26">
        <v>0</v>
      </c>
    </row>
    <row r="732" spans="1:10" x14ac:dyDescent="0.2">
      <c r="A732" s="53"/>
      <c r="B732" s="53"/>
      <c r="C732" s="46"/>
      <c r="D732" s="55"/>
      <c r="E732" s="53"/>
      <c r="F732" s="53"/>
      <c r="H732" s="123">
        <f t="shared" si="173"/>
        <v>0</v>
      </c>
      <c r="I732" s="42"/>
      <c r="J732" s="26">
        <v>0</v>
      </c>
    </row>
    <row r="733" spans="1:10" x14ac:dyDescent="0.2">
      <c r="A733" s="53"/>
      <c r="B733" s="53"/>
      <c r="C733" s="46"/>
      <c r="D733" s="55"/>
      <c r="E733" s="53"/>
      <c r="F733" s="53"/>
      <c r="H733" s="123">
        <f t="shared" si="173"/>
        <v>0</v>
      </c>
      <c r="I733" s="42"/>
      <c r="J733" s="26">
        <v>0</v>
      </c>
    </row>
    <row r="734" spans="1:10" x14ac:dyDescent="0.2">
      <c r="A734" s="53"/>
      <c r="B734" s="53"/>
      <c r="C734" s="46"/>
      <c r="D734" s="55"/>
      <c r="E734" s="53"/>
      <c r="F734" s="53"/>
      <c r="H734" s="123">
        <f t="shared" si="173"/>
        <v>0</v>
      </c>
      <c r="I734" s="42"/>
      <c r="J734" s="26">
        <v>0</v>
      </c>
    </row>
    <row r="735" spans="1:10" x14ac:dyDescent="0.2">
      <c r="A735" s="53"/>
      <c r="B735" s="53"/>
      <c r="C735" s="46"/>
      <c r="D735" s="55"/>
      <c r="E735" s="53"/>
      <c r="F735" s="53"/>
      <c r="H735" s="123">
        <f t="shared" ref="H735:H798" si="174">E735+G735</f>
        <v>0</v>
      </c>
      <c r="I735" s="42"/>
      <c r="J735" s="26">
        <v>0</v>
      </c>
    </row>
    <row r="736" spans="1:10" x14ac:dyDescent="0.2">
      <c r="A736" s="53"/>
      <c r="B736" s="53"/>
      <c r="C736" s="46"/>
      <c r="D736" s="55"/>
      <c r="E736" s="53"/>
      <c r="F736" s="53"/>
      <c r="H736" s="123">
        <f t="shared" si="174"/>
        <v>0</v>
      </c>
      <c r="I736" s="42"/>
      <c r="J736" s="26">
        <v>0</v>
      </c>
    </row>
    <row r="737" spans="1:10" x14ac:dyDescent="0.2">
      <c r="A737" s="53"/>
      <c r="B737" s="53"/>
      <c r="C737" s="46"/>
      <c r="D737" s="55"/>
      <c r="E737" s="53"/>
      <c r="F737" s="53"/>
      <c r="H737" s="123">
        <f t="shared" si="174"/>
        <v>0</v>
      </c>
      <c r="I737" s="42"/>
      <c r="J737" s="26">
        <v>0</v>
      </c>
    </row>
    <row r="738" spans="1:10" x14ac:dyDescent="0.2">
      <c r="A738" s="53"/>
      <c r="B738" s="53"/>
      <c r="C738" s="46"/>
      <c r="D738" s="55"/>
      <c r="E738" s="53"/>
      <c r="F738" s="53"/>
      <c r="H738" s="123">
        <f t="shared" si="174"/>
        <v>0</v>
      </c>
      <c r="I738" s="42"/>
      <c r="J738" s="26">
        <v>0</v>
      </c>
    </row>
    <row r="739" spans="1:10" x14ac:dyDescent="0.2">
      <c r="A739" s="53"/>
      <c r="B739" s="53"/>
      <c r="C739" s="46"/>
      <c r="D739" s="55"/>
      <c r="E739" s="53"/>
      <c r="F739" s="53"/>
      <c r="H739" s="123">
        <f t="shared" si="174"/>
        <v>0</v>
      </c>
      <c r="I739" s="42"/>
      <c r="J739" s="26">
        <v>0</v>
      </c>
    </row>
    <row r="740" spans="1:10" x14ac:dyDescent="0.2">
      <c r="A740" s="53"/>
      <c r="B740" s="53"/>
      <c r="C740" s="46"/>
      <c r="D740" s="55"/>
      <c r="E740" s="53"/>
      <c r="F740" s="53"/>
      <c r="H740" s="123">
        <f t="shared" si="174"/>
        <v>0</v>
      </c>
      <c r="I740" s="42"/>
      <c r="J740" s="26">
        <v>0</v>
      </c>
    </row>
    <row r="741" spans="1:10" x14ac:dyDescent="0.2">
      <c r="A741" s="53"/>
      <c r="B741" s="53"/>
      <c r="C741" s="46"/>
      <c r="D741" s="55"/>
      <c r="E741" s="53"/>
      <c r="F741" s="53"/>
      <c r="H741" s="123">
        <f t="shared" si="174"/>
        <v>0</v>
      </c>
      <c r="I741" s="42"/>
      <c r="J741" s="26">
        <v>0</v>
      </c>
    </row>
    <row r="742" spans="1:10" x14ac:dyDescent="0.2">
      <c r="A742" s="53"/>
      <c r="B742" s="53"/>
      <c r="C742" s="46"/>
      <c r="D742" s="55"/>
      <c r="E742" s="53"/>
      <c r="F742" s="53"/>
      <c r="H742" s="123">
        <f t="shared" si="174"/>
        <v>0</v>
      </c>
      <c r="I742" s="42"/>
      <c r="J742" s="26">
        <v>0</v>
      </c>
    </row>
    <row r="743" spans="1:10" x14ac:dyDescent="0.2">
      <c r="A743" s="53"/>
      <c r="B743" s="53"/>
      <c r="C743" s="46"/>
      <c r="D743" s="55"/>
      <c r="E743" s="53"/>
      <c r="F743" s="53"/>
      <c r="H743" s="123">
        <f t="shared" si="174"/>
        <v>0</v>
      </c>
      <c r="I743" s="42"/>
      <c r="J743" s="26">
        <v>0</v>
      </c>
    </row>
    <row r="744" spans="1:10" x14ac:dyDescent="0.2">
      <c r="A744" s="53"/>
      <c r="B744" s="53"/>
      <c r="C744" s="46"/>
      <c r="D744" s="55"/>
      <c r="E744" s="53"/>
      <c r="F744" s="53"/>
      <c r="H744" s="123">
        <f t="shared" si="174"/>
        <v>0</v>
      </c>
      <c r="I744" s="42"/>
      <c r="J744" s="26">
        <v>0</v>
      </c>
    </row>
    <row r="745" spans="1:10" x14ac:dyDescent="0.2">
      <c r="A745" s="53"/>
      <c r="B745" s="53"/>
      <c r="C745" s="46"/>
      <c r="D745" s="55"/>
      <c r="E745" s="53"/>
      <c r="F745" s="53"/>
      <c r="H745" s="123">
        <f t="shared" si="174"/>
        <v>0</v>
      </c>
      <c r="I745" s="42"/>
      <c r="J745" s="26">
        <v>0</v>
      </c>
    </row>
    <row r="746" spans="1:10" x14ac:dyDescent="0.2">
      <c r="A746" s="53"/>
      <c r="B746" s="53"/>
      <c r="C746" s="46"/>
      <c r="D746" s="55"/>
      <c r="E746" s="53"/>
      <c r="F746" s="53"/>
      <c r="H746" s="123">
        <f t="shared" si="174"/>
        <v>0</v>
      </c>
      <c r="I746" s="42"/>
      <c r="J746" s="26">
        <v>0</v>
      </c>
    </row>
    <row r="747" spans="1:10" x14ac:dyDescent="0.2">
      <c r="A747" s="53"/>
      <c r="B747" s="53"/>
      <c r="C747" s="46"/>
      <c r="D747" s="55"/>
      <c r="E747" s="53"/>
      <c r="F747" s="53"/>
      <c r="H747" s="123">
        <f t="shared" si="174"/>
        <v>0</v>
      </c>
      <c r="I747" s="42"/>
      <c r="J747" s="26">
        <v>0</v>
      </c>
    </row>
    <row r="748" spans="1:10" x14ac:dyDescent="0.2">
      <c r="A748" s="53"/>
      <c r="B748" s="53"/>
      <c r="C748" s="46"/>
      <c r="D748" s="55"/>
      <c r="E748" s="53"/>
      <c r="F748" s="53"/>
      <c r="H748" s="123">
        <f t="shared" si="174"/>
        <v>0</v>
      </c>
      <c r="I748" s="42"/>
      <c r="J748" s="26">
        <v>0</v>
      </c>
    </row>
    <row r="749" spans="1:10" x14ac:dyDescent="0.2">
      <c r="A749" s="53"/>
      <c r="B749" s="53"/>
      <c r="C749" s="46"/>
      <c r="D749" s="55"/>
      <c r="E749" s="53"/>
      <c r="F749" s="53"/>
      <c r="H749" s="123">
        <f t="shared" si="174"/>
        <v>0</v>
      </c>
      <c r="I749" s="42"/>
      <c r="J749" s="26">
        <v>0</v>
      </c>
    </row>
    <row r="750" spans="1:10" x14ac:dyDescent="0.2">
      <c r="A750" s="53"/>
      <c r="B750" s="53"/>
      <c r="C750" s="46"/>
      <c r="D750" s="55"/>
      <c r="E750" s="53"/>
      <c r="F750" s="53"/>
      <c r="H750" s="123">
        <f t="shared" si="174"/>
        <v>0</v>
      </c>
      <c r="I750" s="42"/>
      <c r="J750" s="26">
        <v>0</v>
      </c>
    </row>
    <row r="751" spans="1:10" x14ac:dyDescent="0.2">
      <c r="A751" s="53"/>
      <c r="B751" s="53"/>
      <c r="C751" s="46"/>
      <c r="D751" s="55"/>
      <c r="E751" s="53"/>
      <c r="F751" s="53"/>
      <c r="H751" s="123">
        <f t="shared" si="174"/>
        <v>0</v>
      </c>
      <c r="I751" s="42"/>
      <c r="J751" s="26">
        <v>0</v>
      </c>
    </row>
    <row r="752" spans="1:10" x14ac:dyDescent="0.2">
      <c r="A752" s="53"/>
      <c r="B752" s="53"/>
      <c r="C752" s="46"/>
      <c r="D752" s="55"/>
      <c r="E752" s="53"/>
      <c r="F752" s="53"/>
      <c r="H752" s="123">
        <f t="shared" si="174"/>
        <v>0</v>
      </c>
      <c r="I752" s="42"/>
      <c r="J752" s="26">
        <v>0</v>
      </c>
    </row>
    <row r="753" spans="1:10" x14ac:dyDescent="0.2">
      <c r="A753" s="53"/>
      <c r="B753" s="53"/>
      <c r="C753" s="46"/>
      <c r="D753" s="55"/>
      <c r="E753" s="53"/>
      <c r="F753" s="53"/>
      <c r="H753" s="123">
        <f t="shared" si="174"/>
        <v>0</v>
      </c>
      <c r="I753" s="42"/>
      <c r="J753" s="26">
        <v>0</v>
      </c>
    </row>
    <row r="754" spans="1:10" x14ac:dyDescent="0.2">
      <c r="A754" s="53"/>
      <c r="B754" s="53"/>
      <c r="C754" s="46"/>
      <c r="D754" s="55"/>
      <c r="E754" s="53"/>
      <c r="F754" s="53"/>
      <c r="H754" s="123">
        <f t="shared" si="174"/>
        <v>0</v>
      </c>
      <c r="I754" s="42"/>
      <c r="J754" s="26">
        <v>0</v>
      </c>
    </row>
    <row r="755" spans="1:10" x14ac:dyDescent="0.2">
      <c r="A755" s="53"/>
      <c r="B755" s="53"/>
      <c r="C755" s="46"/>
      <c r="D755" s="55"/>
      <c r="E755" s="53"/>
      <c r="F755" s="53"/>
      <c r="H755" s="123">
        <f t="shared" si="174"/>
        <v>0</v>
      </c>
      <c r="I755" s="42"/>
      <c r="J755" s="26">
        <v>0</v>
      </c>
    </row>
    <row r="756" spans="1:10" x14ac:dyDescent="0.2">
      <c r="A756" s="53"/>
      <c r="B756" s="53"/>
      <c r="C756" s="46"/>
      <c r="D756" s="55"/>
      <c r="E756" s="53"/>
      <c r="F756" s="53"/>
      <c r="H756" s="123">
        <f t="shared" si="174"/>
        <v>0</v>
      </c>
      <c r="I756" s="42"/>
      <c r="J756" s="26">
        <v>0</v>
      </c>
    </row>
    <row r="757" spans="1:10" x14ac:dyDescent="0.2">
      <c r="A757" s="53"/>
      <c r="B757" s="53"/>
      <c r="C757" s="46"/>
      <c r="D757" s="55"/>
      <c r="E757" s="53"/>
      <c r="F757" s="53"/>
      <c r="H757" s="123">
        <f t="shared" si="174"/>
        <v>0</v>
      </c>
      <c r="I757" s="42"/>
      <c r="J757" s="26">
        <v>0</v>
      </c>
    </row>
    <row r="758" spans="1:10" x14ac:dyDescent="0.2">
      <c r="A758" s="53"/>
      <c r="B758" s="53"/>
      <c r="C758" s="46"/>
      <c r="D758" s="55"/>
      <c r="E758" s="53"/>
      <c r="F758" s="53"/>
      <c r="H758" s="123">
        <f t="shared" si="174"/>
        <v>0</v>
      </c>
      <c r="I758" s="42"/>
      <c r="J758" s="26">
        <v>0</v>
      </c>
    </row>
    <row r="759" spans="1:10" x14ac:dyDescent="0.2">
      <c r="A759" s="53"/>
      <c r="B759" s="53"/>
      <c r="C759" s="46"/>
      <c r="D759" s="55"/>
      <c r="E759" s="53"/>
      <c r="F759" s="53"/>
      <c r="H759" s="123">
        <f t="shared" si="174"/>
        <v>0</v>
      </c>
      <c r="I759" s="42"/>
      <c r="J759" s="26">
        <v>0</v>
      </c>
    </row>
    <row r="760" spans="1:10" x14ac:dyDescent="0.2">
      <c r="A760" s="53"/>
      <c r="B760" s="53"/>
      <c r="C760" s="46"/>
      <c r="D760" s="55"/>
      <c r="E760" s="53"/>
      <c r="F760" s="53"/>
      <c r="H760" s="123">
        <f t="shared" si="174"/>
        <v>0</v>
      </c>
      <c r="I760" s="42"/>
      <c r="J760" s="26">
        <v>0</v>
      </c>
    </row>
    <row r="761" spans="1:10" x14ac:dyDescent="0.2">
      <c r="A761" s="53"/>
      <c r="B761" s="53"/>
      <c r="C761" s="46"/>
      <c r="D761" s="55"/>
      <c r="E761" s="53"/>
      <c r="F761" s="53"/>
      <c r="H761" s="123">
        <f t="shared" si="174"/>
        <v>0</v>
      </c>
      <c r="I761" s="42"/>
      <c r="J761" s="26">
        <v>0</v>
      </c>
    </row>
    <row r="762" spans="1:10" x14ac:dyDescent="0.2">
      <c r="A762" s="53"/>
      <c r="B762" s="53"/>
      <c r="C762" s="46"/>
      <c r="D762" s="55"/>
      <c r="E762" s="53"/>
      <c r="F762" s="53"/>
      <c r="H762" s="123">
        <f t="shared" si="174"/>
        <v>0</v>
      </c>
      <c r="I762" s="42"/>
      <c r="J762" s="26">
        <v>0</v>
      </c>
    </row>
    <row r="763" spans="1:10" x14ac:dyDescent="0.2">
      <c r="A763" s="53"/>
      <c r="B763" s="53"/>
      <c r="C763" s="46"/>
      <c r="D763" s="55"/>
      <c r="E763" s="53"/>
      <c r="F763" s="53"/>
      <c r="H763" s="123">
        <f t="shared" si="174"/>
        <v>0</v>
      </c>
      <c r="I763" s="42"/>
      <c r="J763" s="26">
        <v>0</v>
      </c>
    </row>
    <row r="764" spans="1:10" x14ac:dyDescent="0.2">
      <c r="A764" s="53"/>
      <c r="B764" s="53"/>
      <c r="C764" s="46"/>
      <c r="D764" s="55"/>
      <c r="E764" s="53"/>
      <c r="F764" s="53"/>
      <c r="H764" s="123">
        <f t="shared" si="174"/>
        <v>0</v>
      </c>
      <c r="I764" s="42"/>
      <c r="J764" s="26">
        <v>0</v>
      </c>
    </row>
    <row r="765" spans="1:10" x14ac:dyDescent="0.2">
      <c r="A765" s="53"/>
      <c r="B765" s="53"/>
      <c r="C765" s="46"/>
      <c r="D765" s="55"/>
      <c r="E765" s="53"/>
      <c r="F765" s="53"/>
      <c r="H765" s="123">
        <f t="shared" si="174"/>
        <v>0</v>
      </c>
      <c r="I765" s="42"/>
      <c r="J765" s="26">
        <v>0</v>
      </c>
    </row>
    <row r="766" spans="1:10" x14ac:dyDescent="0.2">
      <c r="A766" s="53"/>
      <c r="B766" s="53"/>
      <c r="C766" s="46"/>
      <c r="D766" s="55"/>
      <c r="E766" s="53"/>
      <c r="F766" s="53"/>
      <c r="H766" s="123">
        <f t="shared" si="174"/>
        <v>0</v>
      </c>
      <c r="I766" s="42"/>
      <c r="J766" s="26">
        <v>0</v>
      </c>
    </row>
    <row r="767" spans="1:10" x14ac:dyDescent="0.2">
      <c r="A767" s="53"/>
      <c r="B767" s="53"/>
      <c r="C767" s="46"/>
      <c r="D767" s="55"/>
      <c r="E767" s="53"/>
      <c r="F767" s="53"/>
      <c r="H767" s="123">
        <f t="shared" si="174"/>
        <v>0</v>
      </c>
      <c r="I767" s="42"/>
      <c r="J767" s="26">
        <v>0</v>
      </c>
    </row>
    <row r="768" spans="1:10" x14ac:dyDescent="0.2">
      <c r="A768" s="53"/>
      <c r="B768" s="53"/>
      <c r="C768" s="46"/>
      <c r="D768" s="55"/>
      <c r="E768" s="53"/>
      <c r="F768" s="53"/>
      <c r="H768" s="123">
        <f t="shared" si="174"/>
        <v>0</v>
      </c>
      <c r="I768" s="42"/>
      <c r="J768" s="26">
        <v>0</v>
      </c>
    </row>
    <row r="769" spans="1:10" x14ac:dyDescent="0.2">
      <c r="A769" s="53"/>
      <c r="B769" s="53"/>
      <c r="C769" s="46"/>
      <c r="D769" s="55"/>
      <c r="E769" s="53"/>
      <c r="F769" s="53"/>
      <c r="H769" s="123">
        <f t="shared" si="174"/>
        <v>0</v>
      </c>
      <c r="I769" s="42"/>
      <c r="J769" s="26">
        <v>0</v>
      </c>
    </row>
    <row r="770" spans="1:10" x14ac:dyDescent="0.2">
      <c r="A770" s="53"/>
      <c r="B770" s="53"/>
      <c r="C770" s="46"/>
      <c r="D770" s="55"/>
      <c r="E770" s="53"/>
      <c r="F770" s="53"/>
      <c r="H770" s="123">
        <f t="shared" si="174"/>
        <v>0</v>
      </c>
      <c r="I770" s="42"/>
      <c r="J770" s="26">
        <v>0</v>
      </c>
    </row>
    <row r="771" spans="1:10" x14ac:dyDescent="0.2">
      <c r="A771" s="53"/>
      <c r="B771" s="53"/>
      <c r="C771" s="46"/>
      <c r="D771" s="55"/>
      <c r="E771" s="53"/>
      <c r="F771" s="53"/>
      <c r="H771" s="123">
        <f t="shared" si="174"/>
        <v>0</v>
      </c>
      <c r="I771" s="42"/>
      <c r="J771" s="26">
        <v>0</v>
      </c>
    </row>
    <row r="772" spans="1:10" x14ac:dyDescent="0.2">
      <c r="A772" s="53"/>
      <c r="B772" s="53"/>
      <c r="C772" s="46"/>
      <c r="D772" s="55"/>
      <c r="E772" s="53"/>
      <c r="F772" s="53"/>
      <c r="H772" s="123">
        <f t="shared" si="174"/>
        <v>0</v>
      </c>
      <c r="I772" s="42"/>
      <c r="J772" s="26">
        <v>0</v>
      </c>
    </row>
    <row r="773" spans="1:10" x14ac:dyDescent="0.2">
      <c r="A773" s="53"/>
      <c r="B773" s="53"/>
      <c r="C773" s="46"/>
      <c r="D773" s="55"/>
      <c r="E773" s="53"/>
      <c r="F773" s="53"/>
      <c r="H773" s="123">
        <f t="shared" si="174"/>
        <v>0</v>
      </c>
      <c r="I773" s="42"/>
      <c r="J773" s="26">
        <v>0</v>
      </c>
    </row>
    <row r="774" spans="1:10" x14ac:dyDescent="0.2">
      <c r="A774" s="53"/>
      <c r="B774" s="53"/>
      <c r="C774" s="46"/>
      <c r="D774" s="55"/>
      <c r="E774" s="53"/>
      <c r="F774" s="53"/>
      <c r="H774" s="123">
        <f t="shared" si="174"/>
        <v>0</v>
      </c>
      <c r="I774" s="42"/>
      <c r="J774" s="26">
        <v>0</v>
      </c>
    </row>
    <row r="775" spans="1:10" x14ac:dyDescent="0.2">
      <c r="A775" s="53"/>
      <c r="B775" s="53"/>
      <c r="C775" s="46"/>
      <c r="D775" s="55"/>
      <c r="E775" s="53"/>
      <c r="F775" s="53"/>
      <c r="H775" s="123">
        <f t="shared" si="174"/>
        <v>0</v>
      </c>
      <c r="I775" s="42"/>
      <c r="J775" s="26">
        <v>0</v>
      </c>
    </row>
    <row r="776" spans="1:10" x14ac:dyDescent="0.2">
      <c r="A776" s="53"/>
      <c r="B776" s="53"/>
      <c r="C776" s="46"/>
      <c r="D776" s="55"/>
      <c r="E776" s="53"/>
      <c r="F776" s="53"/>
      <c r="H776" s="123">
        <f t="shared" si="174"/>
        <v>0</v>
      </c>
      <c r="I776" s="42"/>
      <c r="J776" s="26">
        <v>0</v>
      </c>
    </row>
    <row r="777" spans="1:10" x14ac:dyDescent="0.2">
      <c r="A777" s="53"/>
      <c r="B777" s="53"/>
      <c r="C777" s="46"/>
      <c r="D777" s="55"/>
      <c r="E777" s="53"/>
      <c r="F777" s="53"/>
      <c r="H777" s="123">
        <f t="shared" si="174"/>
        <v>0</v>
      </c>
      <c r="I777" s="42"/>
      <c r="J777" s="26">
        <v>0</v>
      </c>
    </row>
    <row r="778" spans="1:10" x14ac:dyDescent="0.2">
      <c r="A778" s="53"/>
      <c r="B778" s="53"/>
      <c r="C778" s="46"/>
      <c r="D778" s="55"/>
      <c r="E778" s="53"/>
      <c r="F778" s="53"/>
      <c r="H778" s="123">
        <f t="shared" si="174"/>
        <v>0</v>
      </c>
      <c r="I778" s="42"/>
      <c r="J778" s="26">
        <v>0</v>
      </c>
    </row>
    <row r="779" spans="1:10" x14ac:dyDescent="0.2">
      <c r="A779" s="53"/>
      <c r="B779" s="53"/>
      <c r="C779" s="46"/>
      <c r="D779" s="55"/>
      <c r="E779" s="53"/>
      <c r="F779" s="53"/>
      <c r="H779" s="123">
        <f t="shared" si="174"/>
        <v>0</v>
      </c>
      <c r="I779" s="42"/>
      <c r="J779" s="26">
        <v>0</v>
      </c>
    </row>
    <row r="780" spans="1:10" x14ac:dyDescent="0.2">
      <c r="A780" s="53"/>
      <c r="B780" s="53"/>
      <c r="C780" s="46"/>
      <c r="D780" s="55"/>
      <c r="E780" s="53"/>
      <c r="F780" s="53"/>
      <c r="H780" s="123">
        <f t="shared" si="174"/>
        <v>0</v>
      </c>
      <c r="I780" s="42"/>
      <c r="J780" s="26">
        <v>0</v>
      </c>
    </row>
    <row r="781" spans="1:10" x14ac:dyDescent="0.2">
      <c r="A781" s="53"/>
      <c r="B781" s="53"/>
      <c r="C781" s="46"/>
      <c r="D781" s="55"/>
      <c r="E781" s="53"/>
      <c r="F781" s="53"/>
      <c r="H781" s="123">
        <f t="shared" si="174"/>
        <v>0</v>
      </c>
      <c r="I781" s="42"/>
      <c r="J781" s="26">
        <v>0</v>
      </c>
    </row>
    <row r="782" spans="1:10" x14ac:dyDescent="0.2">
      <c r="A782" s="53"/>
      <c r="B782" s="53"/>
      <c r="C782" s="46"/>
      <c r="D782" s="55"/>
      <c r="E782" s="53"/>
      <c r="F782" s="53"/>
      <c r="H782" s="123">
        <f t="shared" si="174"/>
        <v>0</v>
      </c>
      <c r="I782" s="42"/>
      <c r="J782" s="26">
        <v>0</v>
      </c>
    </row>
    <row r="783" spans="1:10" x14ac:dyDescent="0.2">
      <c r="A783" s="53"/>
      <c r="B783" s="53"/>
      <c r="C783" s="46"/>
      <c r="D783" s="55"/>
      <c r="E783" s="53"/>
      <c r="F783" s="53"/>
      <c r="H783" s="123">
        <f t="shared" si="174"/>
        <v>0</v>
      </c>
      <c r="I783" s="42"/>
      <c r="J783" s="26">
        <v>0</v>
      </c>
    </row>
    <row r="784" spans="1:10" x14ac:dyDescent="0.2">
      <c r="A784" s="53"/>
      <c r="B784" s="53"/>
      <c r="C784" s="46"/>
      <c r="D784" s="55"/>
      <c r="E784" s="53"/>
      <c r="F784" s="53"/>
      <c r="H784" s="123">
        <f t="shared" si="174"/>
        <v>0</v>
      </c>
      <c r="I784" s="42"/>
      <c r="J784" s="26">
        <v>0</v>
      </c>
    </row>
    <row r="785" spans="1:10" x14ac:dyDescent="0.2">
      <c r="A785" s="53"/>
      <c r="B785" s="53"/>
      <c r="C785" s="46"/>
      <c r="D785" s="55"/>
      <c r="E785" s="53"/>
      <c r="F785" s="53"/>
      <c r="H785" s="123">
        <f t="shared" si="174"/>
        <v>0</v>
      </c>
      <c r="I785" s="42"/>
      <c r="J785" s="26">
        <v>0</v>
      </c>
    </row>
    <row r="786" spans="1:10" x14ac:dyDescent="0.2">
      <c r="A786" s="53"/>
      <c r="B786" s="53"/>
      <c r="C786" s="46"/>
      <c r="D786" s="55"/>
      <c r="E786" s="53"/>
      <c r="F786" s="53"/>
      <c r="H786" s="123">
        <f t="shared" si="174"/>
        <v>0</v>
      </c>
      <c r="I786" s="42"/>
      <c r="J786" s="26">
        <v>0</v>
      </c>
    </row>
    <row r="787" spans="1:10" x14ac:dyDescent="0.2">
      <c r="A787" s="53"/>
      <c r="B787" s="53"/>
      <c r="C787" s="46"/>
      <c r="D787" s="55"/>
      <c r="E787" s="53"/>
      <c r="F787" s="53"/>
      <c r="H787" s="123">
        <f t="shared" si="174"/>
        <v>0</v>
      </c>
      <c r="I787" s="42"/>
      <c r="J787" s="26">
        <v>0</v>
      </c>
    </row>
    <row r="788" spans="1:10" x14ac:dyDescent="0.2">
      <c r="A788" s="53"/>
      <c r="B788" s="53"/>
      <c r="C788" s="46"/>
      <c r="D788" s="55"/>
      <c r="E788" s="53"/>
      <c r="F788" s="53"/>
      <c r="H788" s="123">
        <f t="shared" si="174"/>
        <v>0</v>
      </c>
      <c r="I788" s="42"/>
      <c r="J788" s="26">
        <v>0</v>
      </c>
    </row>
    <row r="789" spans="1:10" x14ac:dyDescent="0.2">
      <c r="A789" s="53"/>
      <c r="B789" s="53"/>
      <c r="C789" s="46"/>
      <c r="D789" s="55"/>
      <c r="E789" s="53"/>
      <c r="F789" s="53"/>
      <c r="H789" s="123">
        <f t="shared" si="174"/>
        <v>0</v>
      </c>
      <c r="I789" s="42"/>
      <c r="J789" s="26">
        <v>0</v>
      </c>
    </row>
    <row r="790" spans="1:10" x14ac:dyDescent="0.2">
      <c r="A790" s="53"/>
      <c r="B790" s="53"/>
      <c r="C790" s="46"/>
      <c r="D790" s="55"/>
      <c r="E790" s="53"/>
      <c r="F790" s="53"/>
      <c r="H790" s="123">
        <f t="shared" si="174"/>
        <v>0</v>
      </c>
      <c r="I790" s="42"/>
      <c r="J790" s="26">
        <v>0</v>
      </c>
    </row>
    <row r="791" spans="1:10" x14ac:dyDescent="0.2">
      <c r="A791" s="53"/>
      <c r="B791" s="53"/>
      <c r="C791" s="46"/>
      <c r="D791" s="55"/>
      <c r="E791" s="53"/>
      <c r="F791" s="53"/>
      <c r="H791" s="123">
        <f t="shared" si="174"/>
        <v>0</v>
      </c>
      <c r="I791" s="42"/>
      <c r="J791" s="26">
        <v>0</v>
      </c>
    </row>
    <row r="792" spans="1:10" x14ac:dyDescent="0.2">
      <c r="A792" s="53"/>
      <c r="B792" s="53"/>
      <c r="C792" s="46"/>
      <c r="D792" s="55"/>
      <c r="E792" s="53"/>
      <c r="F792" s="53"/>
      <c r="H792" s="123">
        <f t="shared" si="174"/>
        <v>0</v>
      </c>
      <c r="I792" s="42"/>
      <c r="J792" s="26">
        <v>0</v>
      </c>
    </row>
    <row r="793" spans="1:10" x14ac:dyDescent="0.2">
      <c r="A793" s="53"/>
      <c r="B793" s="53"/>
      <c r="C793" s="46"/>
      <c r="D793" s="55"/>
      <c r="E793" s="53"/>
      <c r="F793" s="53"/>
      <c r="H793" s="123">
        <f t="shared" si="174"/>
        <v>0</v>
      </c>
      <c r="I793" s="42"/>
      <c r="J793" s="26">
        <v>0</v>
      </c>
    </row>
    <row r="794" spans="1:10" x14ac:dyDescent="0.2">
      <c r="A794" s="53"/>
      <c r="B794" s="53"/>
      <c r="C794" s="46"/>
      <c r="D794" s="55"/>
      <c r="E794" s="53"/>
      <c r="F794" s="53"/>
      <c r="H794" s="123">
        <f t="shared" si="174"/>
        <v>0</v>
      </c>
      <c r="I794" s="42"/>
      <c r="J794" s="26">
        <v>0</v>
      </c>
    </row>
    <row r="795" spans="1:10" x14ac:dyDescent="0.2">
      <c r="A795" s="53"/>
      <c r="B795" s="53"/>
      <c r="C795" s="46"/>
      <c r="D795" s="55"/>
      <c r="E795" s="53"/>
      <c r="F795" s="53"/>
      <c r="H795" s="123">
        <f t="shared" si="174"/>
        <v>0</v>
      </c>
      <c r="I795" s="42"/>
      <c r="J795" s="26">
        <v>0</v>
      </c>
    </row>
    <row r="796" spans="1:10" x14ac:dyDescent="0.2">
      <c r="A796" s="53"/>
      <c r="B796" s="53"/>
      <c r="C796" s="46"/>
      <c r="D796" s="55"/>
      <c r="E796" s="53"/>
      <c r="F796" s="53"/>
      <c r="H796" s="123">
        <f t="shared" si="174"/>
        <v>0</v>
      </c>
      <c r="I796" s="42"/>
      <c r="J796" s="26">
        <v>0</v>
      </c>
    </row>
    <row r="797" spans="1:10" x14ac:dyDescent="0.2">
      <c r="A797" s="53"/>
      <c r="B797" s="53"/>
      <c r="C797" s="46"/>
      <c r="D797" s="55"/>
      <c r="E797" s="53"/>
      <c r="F797" s="53"/>
      <c r="H797" s="123">
        <f t="shared" si="174"/>
        <v>0</v>
      </c>
      <c r="I797" s="42"/>
      <c r="J797" s="26">
        <v>0</v>
      </c>
    </row>
    <row r="798" spans="1:10" x14ac:dyDescent="0.2">
      <c r="A798" s="53"/>
      <c r="B798" s="53"/>
      <c r="C798" s="46"/>
      <c r="D798" s="55"/>
      <c r="E798" s="53"/>
      <c r="F798" s="53"/>
      <c r="H798" s="123">
        <f t="shared" si="174"/>
        <v>0</v>
      </c>
      <c r="I798" s="42"/>
      <c r="J798" s="26">
        <v>0</v>
      </c>
    </row>
    <row r="799" spans="1:10" x14ac:dyDescent="0.2">
      <c r="A799" s="53"/>
      <c r="B799" s="53"/>
      <c r="C799" s="46"/>
      <c r="D799" s="55"/>
      <c r="E799" s="53"/>
      <c r="F799" s="53"/>
      <c r="H799" s="123">
        <f t="shared" ref="H799:H862" si="175">E799+G799</f>
        <v>0</v>
      </c>
      <c r="I799" s="42"/>
      <c r="J799" s="26">
        <v>0</v>
      </c>
    </row>
    <row r="800" spans="1:10" x14ac:dyDescent="0.2">
      <c r="A800" s="53"/>
      <c r="B800" s="53"/>
      <c r="C800" s="46"/>
      <c r="D800" s="55"/>
      <c r="E800" s="53"/>
      <c r="F800" s="53"/>
      <c r="H800" s="123">
        <f t="shared" si="175"/>
        <v>0</v>
      </c>
      <c r="I800" s="42"/>
      <c r="J800" s="26">
        <v>0</v>
      </c>
    </row>
    <row r="801" spans="1:10" x14ac:dyDescent="0.2">
      <c r="A801" s="53"/>
      <c r="B801" s="53"/>
      <c r="C801" s="46"/>
      <c r="D801" s="55"/>
      <c r="E801" s="53"/>
      <c r="F801" s="53"/>
      <c r="H801" s="123">
        <f t="shared" si="175"/>
        <v>0</v>
      </c>
      <c r="I801" s="42"/>
      <c r="J801" s="26">
        <v>0</v>
      </c>
    </row>
    <row r="802" spans="1:10" x14ac:dyDescent="0.2">
      <c r="A802" s="53"/>
      <c r="B802" s="53"/>
      <c r="C802" s="46"/>
      <c r="D802" s="55"/>
      <c r="E802" s="53"/>
      <c r="F802" s="53"/>
      <c r="H802" s="123">
        <f t="shared" si="175"/>
        <v>0</v>
      </c>
      <c r="I802" s="42"/>
      <c r="J802" s="26">
        <v>0</v>
      </c>
    </row>
    <row r="803" spans="1:10" x14ac:dyDescent="0.2">
      <c r="A803" s="53"/>
      <c r="B803" s="53"/>
      <c r="C803" s="46"/>
      <c r="D803" s="55"/>
      <c r="E803" s="53"/>
      <c r="F803" s="53"/>
      <c r="H803" s="123">
        <f t="shared" si="175"/>
        <v>0</v>
      </c>
      <c r="I803" s="42"/>
      <c r="J803" s="26">
        <v>0</v>
      </c>
    </row>
    <row r="804" spans="1:10" x14ac:dyDescent="0.2">
      <c r="A804" s="53"/>
      <c r="B804" s="53"/>
      <c r="C804" s="46"/>
      <c r="D804" s="55"/>
      <c r="E804" s="53"/>
      <c r="F804" s="53"/>
      <c r="H804" s="123">
        <f t="shared" si="175"/>
        <v>0</v>
      </c>
      <c r="I804" s="42"/>
      <c r="J804" s="26">
        <v>0</v>
      </c>
    </row>
    <row r="805" spans="1:10" x14ac:dyDescent="0.2">
      <c r="A805" s="53"/>
      <c r="B805" s="53"/>
      <c r="C805" s="46"/>
      <c r="D805" s="55"/>
      <c r="E805" s="53"/>
      <c r="F805" s="53"/>
      <c r="H805" s="123">
        <f t="shared" si="175"/>
        <v>0</v>
      </c>
      <c r="I805" s="42"/>
      <c r="J805" s="26">
        <v>0</v>
      </c>
    </row>
    <row r="806" spans="1:10" x14ac:dyDescent="0.2">
      <c r="A806" s="53"/>
      <c r="B806" s="53"/>
      <c r="C806" s="46"/>
      <c r="D806" s="55"/>
      <c r="E806" s="53"/>
      <c r="F806" s="53"/>
      <c r="H806" s="123">
        <f t="shared" si="175"/>
        <v>0</v>
      </c>
      <c r="I806" s="42"/>
      <c r="J806" s="26">
        <v>0</v>
      </c>
    </row>
    <row r="807" spans="1:10" x14ac:dyDescent="0.2">
      <c r="A807" s="53"/>
      <c r="B807" s="53"/>
      <c r="C807" s="46"/>
      <c r="D807" s="55"/>
      <c r="E807" s="53"/>
      <c r="F807" s="53"/>
      <c r="H807" s="123">
        <f t="shared" si="175"/>
        <v>0</v>
      </c>
      <c r="I807" s="42"/>
      <c r="J807" s="26">
        <v>0</v>
      </c>
    </row>
    <row r="808" spans="1:10" x14ac:dyDescent="0.2">
      <c r="A808" s="53"/>
      <c r="B808" s="53"/>
      <c r="C808" s="46"/>
      <c r="D808" s="55"/>
      <c r="E808" s="53"/>
      <c r="F808" s="53"/>
      <c r="H808" s="123">
        <f t="shared" si="175"/>
        <v>0</v>
      </c>
      <c r="I808" s="42"/>
      <c r="J808" s="26">
        <v>0</v>
      </c>
    </row>
    <row r="809" spans="1:10" x14ac:dyDescent="0.2">
      <c r="A809" s="53"/>
      <c r="B809" s="53"/>
      <c r="C809" s="46"/>
      <c r="D809" s="55"/>
      <c r="E809" s="53"/>
      <c r="F809" s="53"/>
      <c r="H809" s="123">
        <f t="shared" si="175"/>
        <v>0</v>
      </c>
      <c r="I809" s="42"/>
      <c r="J809" s="26">
        <v>0</v>
      </c>
    </row>
    <row r="810" spans="1:10" x14ac:dyDescent="0.2">
      <c r="A810" s="53"/>
      <c r="B810" s="53"/>
      <c r="C810" s="46"/>
      <c r="D810" s="55"/>
      <c r="E810" s="53"/>
      <c r="F810" s="53"/>
      <c r="H810" s="123">
        <f t="shared" si="175"/>
        <v>0</v>
      </c>
      <c r="I810" s="42"/>
      <c r="J810" s="26">
        <v>0</v>
      </c>
    </row>
    <row r="811" spans="1:10" x14ac:dyDescent="0.2">
      <c r="A811" s="53"/>
      <c r="B811" s="53"/>
      <c r="C811" s="46"/>
      <c r="D811" s="55"/>
      <c r="E811" s="53"/>
      <c r="F811" s="53"/>
      <c r="H811" s="123">
        <f t="shared" si="175"/>
        <v>0</v>
      </c>
      <c r="I811" s="42"/>
      <c r="J811" s="26">
        <v>0</v>
      </c>
    </row>
    <row r="812" spans="1:10" x14ac:dyDescent="0.2">
      <c r="A812" s="53"/>
      <c r="B812" s="53"/>
      <c r="C812" s="46"/>
      <c r="D812" s="55"/>
      <c r="E812" s="53"/>
      <c r="F812" s="53"/>
      <c r="H812" s="123">
        <f t="shared" si="175"/>
        <v>0</v>
      </c>
      <c r="I812" s="42"/>
      <c r="J812" s="26">
        <v>0</v>
      </c>
    </row>
    <row r="813" spans="1:10" x14ac:dyDescent="0.2">
      <c r="A813" s="53"/>
      <c r="B813" s="53"/>
      <c r="C813" s="46"/>
      <c r="D813" s="55"/>
      <c r="E813" s="53"/>
      <c r="F813" s="53"/>
      <c r="H813" s="123">
        <f t="shared" si="175"/>
        <v>0</v>
      </c>
      <c r="I813" s="42"/>
      <c r="J813" s="26">
        <v>0</v>
      </c>
    </row>
    <row r="814" spans="1:10" x14ac:dyDescent="0.2">
      <c r="A814" s="53"/>
      <c r="B814" s="53"/>
      <c r="C814" s="46"/>
      <c r="D814" s="55"/>
      <c r="E814" s="53"/>
      <c r="F814" s="53"/>
      <c r="H814" s="123">
        <f t="shared" si="175"/>
        <v>0</v>
      </c>
      <c r="I814" s="42"/>
      <c r="J814" s="26">
        <v>0</v>
      </c>
    </row>
    <row r="815" spans="1:10" x14ac:dyDescent="0.2">
      <c r="A815" s="53"/>
      <c r="B815" s="53"/>
      <c r="C815" s="46"/>
      <c r="D815" s="55"/>
      <c r="E815" s="53"/>
      <c r="F815" s="53"/>
      <c r="H815" s="123">
        <f t="shared" si="175"/>
        <v>0</v>
      </c>
      <c r="I815" s="42"/>
      <c r="J815" s="26">
        <v>0</v>
      </c>
    </row>
    <row r="816" spans="1:10" x14ac:dyDescent="0.2">
      <c r="A816" s="53"/>
      <c r="B816" s="53"/>
      <c r="C816" s="46"/>
      <c r="D816" s="55"/>
      <c r="E816" s="53"/>
      <c r="F816" s="53"/>
      <c r="H816" s="123">
        <f t="shared" si="175"/>
        <v>0</v>
      </c>
      <c r="I816" s="42"/>
      <c r="J816" s="26">
        <v>0</v>
      </c>
    </row>
    <row r="817" spans="1:10" x14ac:dyDescent="0.2">
      <c r="A817" s="53"/>
      <c r="B817" s="53"/>
      <c r="C817" s="46"/>
      <c r="D817" s="55"/>
      <c r="E817" s="53"/>
      <c r="F817" s="53"/>
      <c r="H817" s="123">
        <f t="shared" si="175"/>
        <v>0</v>
      </c>
      <c r="I817" s="42"/>
      <c r="J817" s="26">
        <v>0</v>
      </c>
    </row>
    <row r="818" spans="1:10" x14ac:dyDescent="0.2">
      <c r="A818" s="53"/>
      <c r="B818" s="53"/>
      <c r="C818" s="46"/>
      <c r="D818" s="55"/>
      <c r="E818" s="53"/>
      <c r="F818" s="53"/>
      <c r="H818" s="123">
        <f t="shared" si="175"/>
        <v>0</v>
      </c>
      <c r="I818" s="42"/>
      <c r="J818" s="26">
        <v>0</v>
      </c>
    </row>
    <row r="819" spans="1:10" x14ac:dyDescent="0.2">
      <c r="A819" s="53"/>
      <c r="B819" s="53"/>
      <c r="C819" s="46"/>
      <c r="D819" s="55"/>
      <c r="E819" s="53"/>
      <c r="F819" s="53"/>
      <c r="H819" s="123">
        <f t="shared" si="175"/>
        <v>0</v>
      </c>
      <c r="I819" s="42"/>
      <c r="J819" s="26">
        <v>0</v>
      </c>
    </row>
    <row r="820" spans="1:10" x14ac:dyDescent="0.2">
      <c r="A820" s="53"/>
      <c r="B820" s="53"/>
      <c r="C820" s="46"/>
      <c r="D820" s="55"/>
      <c r="E820" s="53"/>
      <c r="F820" s="53"/>
      <c r="H820" s="123">
        <f t="shared" si="175"/>
        <v>0</v>
      </c>
      <c r="I820" s="42"/>
      <c r="J820" s="26">
        <v>0</v>
      </c>
    </row>
    <row r="821" spans="1:10" x14ac:dyDescent="0.2">
      <c r="A821" s="53"/>
      <c r="B821" s="53"/>
      <c r="C821" s="46"/>
      <c r="D821" s="55"/>
      <c r="E821" s="53"/>
      <c r="F821" s="53"/>
      <c r="H821" s="123">
        <f t="shared" si="175"/>
        <v>0</v>
      </c>
      <c r="I821" s="42"/>
      <c r="J821" s="26">
        <v>0</v>
      </c>
    </row>
    <row r="822" spans="1:10" x14ac:dyDescent="0.2">
      <c r="A822" s="53"/>
      <c r="B822" s="53"/>
      <c r="C822" s="46"/>
      <c r="D822" s="55"/>
      <c r="E822" s="53"/>
      <c r="F822" s="53"/>
      <c r="H822" s="123">
        <f t="shared" si="175"/>
        <v>0</v>
      </c>
      <c r="I822" s="42"/>
      <c r="J822" s="26">
        <v>0</v>
      </c>
    </row>
    <row r="823" spans="1:10" x14ac:dyDescent="0.2">
      <c r="A823" s="53"/>
      <c r="B823" s="53"/>
      <c r="C823" s="46"/>
      <c r="D823" s="55"/>
      <c r="E823" s="53"/>
      <c r="F823" s="53"/>
      <c r="H823" s="123">
        <f t="shared" si="175"/>
        <v>0</v>
      </c>
      <c r="I823" s="42"/>
      <c r="J823" s="26">
        <v>0</v>
      </c>
    </row>
    <row r="824" spans="1:10" x14ac:dyDescent="0.2">
      <c r="A824" s="53"/>
      <c r="B824" s="53"/>
      <c r="C824" s="46"/>
      <c r="D824" s="55"/>
      <c r="E824" s="53"/>
      <c r="F824" s="53"/>
      <c r="H824" s="123">
        <f t="shared" si="175"/>
        <v>0</v>
      </c>
      <c r="I824" s="42"/>
      <c r="J824" s="26">
        <v>0</v>
      </c>
    </row>
    <row r="825" spans="1:10" x14ac:dyDescent="0.2">
      <c r="A825" s="53"/>
      <c r="B825" s="53"/>
      <c r="C825" s="46"/>
      <c r="D825" s="55"/>
      <c r="E825" s="53"/>
      <c r="F825" s="53"/>
      <c r="H825" s="123">
        <f t="shared" si="175"/>
        <v>0</v>
      </c>
      <c r="I825" s="42"/>
      <c r="J825" s="26">
        <v>0</v>
      </c>
    </row>
    <row r="826" spans="1:10" x14ac:dyDescent="0.2">
      <c r="A826" s="53"/>
      <c r="B826" s="53"/>
      <c r="C826" s="46"/>
      <c r="D826" s="55"/>
      <c r="E826" s="53"/>
      <c r="F826" s="53"/>
      <c r="H826" s="123">
        <f t="shared" si="175"/>
        <v>0</v>
      </c>
      <c r="I826" s="42"/>
      <c r="J826" s="26">
        <v>0</v>
      </c>
    </row>
    <row r="827" spans="1:10" x14ac:dyDescent="0.2">
      <c r="A827" s="53"/>
      <c r="B827" s="53"/>
      <c r="C827" s="46"/>
      <c r="D827" s="55"/>
      <c r="E827" s="53"/>
      <c r="F827" s="53"/>
      <c r="H827" s="123">
        <f t="shared" si="175"/>
        <v>0</v>
      </c>
      <c r="I827" s="42"/>
      <c r="J827" s="26">
        <v>0</v>
      </c>
    </row>
    <row r="828" spans="1:10" x14ac:dyDescent="0.2">
      <c r="A828" s="53"/>
      <c r="B828" s="53"/>
      <c r="C828" s="46"/>
      <c r="D828" s="55"/>
      <c r="E828" s="53"/>
      <c r="F828" s="53"/>
      <c r="H828" s="123">
        <f t="shared" si="175"/>
        <v>0</v>
      </c>
      <c r="I828" s="42"/>
      <c r="J828" s="26">
        <v>0</v>
      </c>
    </row>
    <row r="829" spans="1:10" x14ac:dyDescent="0.2">
      <c r="A829" s="53"/>
      <c r="B829" s="53"/>
      <c r="C829" s="46"/>
      <c r="D829" s="55"/>
      <c r="E829" s="53"/>
      <c r="F829" s="53"/>
      <c r="H829" s="123">
        <f t="shared" si="175"/>
        <v>0</v>
      </c>
      <c r="I829" s="42"/>
      <c r="J829" s="26">
        <v>0</v>
      </c>
    </row>
    <row r="830" spans="1:10" x14ac:dyDescent="0.2">
      <c r="A830" s="53"/>
      <c r="B830" s="53"/>
      <c r="C830" s="46"/>
      <c r="D830" s="55"/>
      <c r="E830" s="53"/>
      <c r="F830" s="53"/>
      <c r="H830" s="123">
        <f t="shared" si="175"/>
        <v>0</v>
      </c>
      <c r="I830" s="42"/>
      <c r="J830" s="26">
        <v>0</v>
      </c>
    </row>
    <row r="831" spans="1:10" x14ac:dyDescent="0.2">
      <c r="A831" s="53"/>
      <c r="B831" s="53"/>
      <c r="C831" s="46"/>
      <c r="D831" s="55"/>
      <c r="E831" s="53"/>
      <c r="F831" s="53"/>
      <c r="H831" s="123">
        <f t="shared" si="175"/>
        <v>0</v>
      </c>
      <c r="I831" s="42"/>
      <c r="J831" s="26">
        <v>0</v>
      </c>
    </row>
    <row r="832" spans="1:10" x14ac:dyDescent="0.2">
      <c r="A832" s="53"/>
      <c r="B832" s="53"/>
      <c r="C832" s="46"/>
      <c r="D832" s="55"/>
      <c r="E832" s="53"/>
      <c r="F832" s="53"/>
      <c r="H832" s="123">
        <f t="shared" si="175"/>
        <v>0</v>
      </c>
      <c r="I832" s="42"/>
      <c r="J832" s="26">
        <v>0</v>
      </c>
    </row>
    <row r="833" spans="1:10" x14ac:dyDescent="0.2">
      <c r="A833" s="53"/>
      <c r="B833" s="53"/>
      <c r="C833" s="46"/>
      <c r="D833" s="55"/>
      <c r="E833" s="53"/>
      <c r="F833" s="53"/>
      <c r="H833" s="123">
        <f t="shared" si="175"/>
        <v>0</v>
      </c>
      <c r="I833" s="42"/>
      <c r="J833" s="26">
        <v>0</v>
      </c>
    </row>
    <row r="834" spans="1:10" x14ac:dyDescent="0.2">
      <c r="A834" s="53"/>
      <c r="B834" s="53"/>
      <c r="C834" s="46"/>
      <c r="D834" s="55"/>
      <c r="E834" s="53"/>
      <c r="F834" s="53"/>
      <c r="H834" s="123">
        <f t="shared" si="175"/>
        <v>0</v>
      </c>
      <c r="I834" s="42"/>
      <c r="J834" s="26">
        <v>0</v>
      </c>
    </row>
    <row r="835" spans="1:10" x14ac:dyDescent="0.2">
      <c r="A835" s="53"/>
      <c r="B835" s="53"/>
      <c r="C835" s="46"/>
      <c r="D835" s="55"/>
      <c r="E835" s="53"/>
      <c r="F835" s="53"/>
      <c r="H835" s="123">
        <f t="shared" si="175"/>
        <v>0</v>
      </c>
      <c r="I835" s="42"/>
      <c r="J835" s="26">
        <v>0</v>
      </c>
    </row>
    <row r="836" spans="1:10" x14ac:dyDescent="0.2">
      <c r="A836" s="53"/>
      <c r="B836" s="53"/>
      <c r="C836" s="46"/>
      <c r="D836" s="55"/>
      <c r="E836" s="53"/>
      <c r="F836" s="53"/>
      <c r="H836" s="123">
        <f t="shared" si="175"/>
        <v>0</v>
      </c>
      <c r="I836" s="42"/>
      <c r="J836" s="26">
        <v>0</v>
      </c>
    </row>
    <row r="837" spans="1:10" x14ac:dyDescent="0.2">
      <c r="A837" s="53"/>
      <c r="B837" s="53"/>
      <c r="C837" s="46"/>
      <c r="D837" s="55"/>
      <c r="E837" s="53"/>
      <c r="F837" s="53"/>
      <c r="H837" s="123">
        <f t="shared" si="175"/>
        <v>0</v>
      </c>
      <c r="I837" s="42"/>
      <c r="J837" s="26">
        <v>0</v>
      </c>
    </row>
    <row r="838" spans="1:10" x14ac:dyDescent="0.2">
      <c r="A838" s="53"/>
      <c r="B838" s="53"/>
      <c r="C838" s="46"/>
      <c r="D838" s="55"/>
      <c r="E838" s="53"/>
      <c r="F838" s="53"/>
      <c r="H838" s="123">
        <f t="shared" si="175"/>
        <v>0</v>
      </c>
      <c r="I838" s="42"/>
      <c r="J838" s="26">
        <v>0</v>
      </c>
    </row>
    <row r="839" spans="1:10" x14ac:dyDescent="0.2">
      <c r="A839" s="53"/>
      <c r="B839" s="53"/>
      <c r="C839" s="46"/>
      <c r="D839" s="55"/>
      <c r="E839" s="53"/>
      <c r="F839" s="53"/>
      <c r="H839" s="123">
        <f t="shared" si="175"/>
        <v>0</v>
      </c>
      <c r="I839" s="42"/>
      <c r="J839" s="26">
        <v>0</v>
      </c>
    </row>
    <row r="840" spans="1:10" x14ac:dyDescent="0.2">
      <c r="A840" s="53"/>
      <c r="B840" s="53"/>
      <c r="C840" s="46"/>
      <c r="D840" s="55"/>
      <c r="E840" s="53"/>
      <c r="F840" s="53"/>
      <c r="H840" s="123">
        <f t="shared" si="175"/>
        <v>0</v>
      </c>
      <c r="I840" s="42"/>
      <c r="J840" s="26">
        <v>0</v>
      </c>
    </row>
    <row r="841" spans="1:10" x14ac:dyDescent="0.2">
      <c r="A841" s="53"/>
      <c r="B841" s="53"/>
      <c r="C841" s="46"/>
      <c r="D841" s="55"/>
      <c r="E841" s="53"/>
      <c r="F841" s="53"/>
      <c r="H841" s="123">
        <f t="shared" si="175"/>
        <v>0</v>
      </c>
      <c r="I841" s="42"/>
      <c r="J841" s="26">
        <v>0</v>
      </c>
    </row>
    <row r="842" spans="1:10" x14ac:dyDescent="0.2">
      <c r="A842" s="53"/>
      <c r="B842" s="53"/>
      <c r="C842" s="46"/>
      <c r="D842" s="55"/>
      <c r="E842" s="53"/>
      <c r="F842" s="53"/>
      <c r="H842" s="123">
        <f t="shared" si="175"/>
        <v>0</v>
      </c>
      <c r="I842" s="42"/>
      <c r="J842" s="26">
        <v>0</v>
      </c>
    </row>
    <row r="843" spans="1:10" x14ac:dyDescent="0.2">
      <c r="A843" s="53"/>
      <c r="B843" s="53"/>
      <c r="C843" s="46"/>
      <c r="D843" s="55"/>
      <c r="E843" s="53"/>
      <c r="F843" s="53"/>
      <c r="H843" s="123">
        <f t="shared" si="175"/>
        <v>0</v>
      </c>
      <c r="I843" s="42"/>
      <c r="J843" s="26">
        <v>0</v>
      </c>
    </row>
    <row r="844" spans="1:10" x14ac:dyDescent="0.2">
      <c r="A844" s="53"/>
      <c r="B844" s="53"/>
      <c r="C844" s="46"/>
      <c r="D844" s="55"/>
      <c r="E844" s="53"/>
      <c r="F844" s="53"/>
      <c r="H844" s="123">
        <f t="shared" si="175"/>
        <v>0</v>
      </c>
      <c r="I844" s="42"/>
      <c r="J844" s="26">
        <v>0</v>
      </c>
    </row>
    <row r="845" spans="1:10" x14ac:dyDescent="0.2">
      <c r="A845" s="53"/>
      <c r="B845" s="53"/>
      <c r="C845" s="46"/>
      <c r="D845" s="55"/>
      <c r="E845" s="53"/>
      <c r="F845" s="53"/>
      <c r="H845" s="123">
        <f t="shared" si="175"/>
        <v>0</v>
      </c>
      <c r="I845" s="42"/>
      <c r="J845" s="26">
        <v>0</v>
      </c>
    </row>
    <row r="846" spans="1:10" x14ac:dyDescent="0.2">
      <c r="A846" s="53"/>
      <c r="B846" s="53"/>
      <c r="C846" s="46"/>
      <c r="D846" s="55"/>
      <c r="E846" s="53"/>
      <c r="F846" s="53"/>
      <c r="H846" s="123">
        <f t="shared" si="175"/>
        <v>0</v>
      </c>
      <c r="I846" s="42"/>
      <c r="J846" s="26">
        <v>0</v>
      </c>
    </row>
    <row r="847" spans="1:10" x14ac:dyDescent="0.2">
      <c r="A847" s="53"/>
      <c r="B847" s="53"/>
      <c r="C847" s="46"/>
      <c r="D847" s="55"/>
      <c r="E847" s="53"/>
      <c r="F847" s="53"/>
      <c r="H847" s="123">
        <f t="shared" si="175"/>
        <v>0</v>
      </c>
      <c r="I847" s="42"/>
      <c r="J847" s="26">
        <v>0</v>
      </c>
    </row>
    <row r="848" spans="1:10" x14ac:dyDescent="0.2">
      <c r="A848" s="53"/>
      <c r="B848" s="53"/>
      <c r="C848" s="46"/>
      <c r="D848" s="55"/>
      <c r="E848" s="53"/>
      <c r="F848" s="53"/>
      <c r="H848" s="123">
        <f t="shared" si="175"/>
        <v>0</v>
      </c>
      <c r="I848" s="42"/>
      <c r="J848" s="26">
        <v>0</v>
      </c>
    </row>
    <row r="849" spans="1:10" x14ac:dyDescent="0.2">
      <c r="A849" s="53"/>
      <c r="B849" s="53"/>
      <c r="C849" s="46"/>
      <c r="D849" s="55"/>
      <c r="E849" s="53"/>
      <c r="F849" s="53"/>
      <c r="H849" s="123">
        <f t="shared" si="175"/>
        <v>0</v>
      </c>
      <c r="I849" s="42"/>
      <c r="J849" s="26">
        <v>0</v>
      </c>
    </row>
    <row r="850" spans="1:10" x14ac:dyDescent="0.2">
      <c r="A850" s="53"/>
      <c r="B850" s="53"/>
      <c r="C850" s="46"/>
      <c r="D850" s="55"/>
      <c r="E850" s="53"/>
      <c r="F850" s="53"/>
      <c r="H850" s="123">
        <f t="shared" si="175"/>
        <v>0</v>
      </c>
      <c r="I850" s="42"/>
      <c r="J850" s="26">
        <v>0</v>
      </c>
    </row>
    <row r="851" spans="1:10" x14ac:dyDescent="0.2">
      <c r="A851" s="53"/>
      <c r="B851" s="53"/>
      <c r="C851" s="46"/>
      <c r="D851" s="55"/>
      <c r="E851" s="53"/>
      <c r="F851" s="53"/>
      <c r="H851" s="123">
        <f t="shared" si="175"/>
        <v>0</v>
      </c>
      <c r="I851" s="42"/>
      <c r="J851" s="26">
        <v>0</v>
      </c>
    </row>
    <row r="852" spans="1:10" x14ac:dyDescent="0.2">
      <c r="A852" s="53"/>
      <c r="B852" s="53"/>
      <c r="C852" s="46"/>
      <c r="D852" s="55"/>
      <c r="E852" s="53"/>
      <c r="F852" s="53"/>
      <c r="H852" s="123">
        <f t="shared" si="175"/>
        <v>0</v>
      </c>
      <c r="I852" s="42"/>
      <c r="J852" s="26">
        <v>0</v>
      </c>
    </row>
    <row r="853" spans="1:10" x14ac:dyDescent="0.2">
      <c r="A853" s="53"/>
      <c r="B853" s="53"/>
      <c r="C853" s="46"/>
      <c r="D853" s="55"/>
      <c r="E853" s="53"/>
      <c r="F853" s="53"/>
      <c r="H853" s="123">
        <f t="shared" si="175"/>
        <v>0</v>
      </c>
      <c r="I853" s="42"/>
      <c r="J853" s="26">
        <v>0</v>
      </c>
    </row>
    <row r="854" spans="1:10" x14ac:dyDescent="0.2">
      <c r="A854" s="53"/>
      <c r="B854" s="53"/>
      <c r="C854" s="46"/>
      <c r="D854" s="55"/>
      <c r="E854" s="53"/>
      <c r="F854" s="53"/>
      <c r="H854" s="123">
        <f t="shared" si="175"/>
        <v>0</v>
      </c>
      <c r="I854" s="42"/>
      <c r="J854" s="26">
        <v>0</v>
      </c>
    </row>
    <row r="855" spans="1:10" x14ac:dyDescent="0.2">
      <c r="A855" s="53"/>
      <c r="B855" s="53"/>
      <c r="C855" s="46"/>
      <c r="D855" s="55"/>
      <c r="E855" s="53"/>
      <c r="F855" s="53"/>
      <c r="H855" s="123">
        <f t="shared" si="175"/>
        <v>0</v>
      </c>
      <c r="I855" s="42"/>
      <c r="J855" s="26">
        <v>0</v>
      </c>
    </row>
    <row r="856" spans="1:10" x14ac:dyDescent="0.2">
      <c r="A856" s="53"/>
      <c r="B856" s="53"/>
      <c r="C856" s="46"/>
      <c r="D856" s="55"/>
      <c r="E856" s="53"/>
      <c r="F856" s="53"/>
      <c r="H856" s="123">
        <f t="shared" si="175"/>
        <v>0</v>
      </c>
      <c r="I856" s="42"/>
      <c r="J856" s="26">
        <v>0</v>
      </c>
    </row>
    <row r="857" spans="1:10" x14ac:dyDescent="0.2">
      <c r="A857" s="53"/>
      <c r="B857" s="53"/>
      <c r="C857" s="46"/>
      <c r="D857" s="55"/>
      <c r="E857" s="53"/>
      <c r="F857" s="53"/>
      <c r="H857" s="123">
        <f t="shared" si="175"/>
        <v>0</v>
      </c>
      <c r="I857" s="42"/>
      <c r="J857" s="26">
        <v>0</v>
      </c>
    </row>
    <row r="858" spans="1:10" x14ac:dyDescent="0.2">
      <c r="A858" s="53"/>
      <c r="B858" s="53"/>
      <c r="C858" s="46"/>
      <c r="D858" s="55"/>
      <c r="E858" s="53"/>
      <c r="F858" s="53"/>
      <c r="H858" s="123">
        <f t="shared" si="175"/>
        <v>0</v>
      </c>
      <c r="I858" s="42"/>
      <c r="J858" s="26">
        <v>0</v>
      </c>
    </row>
    <row r="859" spans="1:10" x14ac:dyDescent="0.2">
      <c r="A859" s="53"/>
      <c r="B859" s="53"/>
      <c r="C859" s="46"/>
      <c r="D859" s="55"/>
      <c r="E859" s="53"/>
      <c r="F859" s="53"/>
      <c r="H859" s="123">
        <f t="shared" si="175"/>
        <v>0</v>
      </c>
      <c r="I859" s="42"/>
      <c r="J859" s="26">
        <v>0</v>
      </c>
    </row>
    <row r="860" spans="1:10" x14ac:dyDescent="0.2">
      <c r="A860" s="53"/>
      <c r="B860" s="53"/>
      <c r="C860" s="46"/>
      <c r="D860" s="55"/>
      <c r="E860" s="53"/>
      <c r="F860" s="53"/>
      <c r="H860" s="123">
        <f t="shared" si="175"/>
        <v>0</v>
      </c>
      <c r="I860" s="42"/>
      <c r="J860" s="26">
        <v>0</v>
      </c>
    </row>
    <row r="861" spans="1:10" x14ac:dyDescent="0.2">
      <c r="A861" s="53"/>
      <c r="B861" s="53"/>
      <c r="C861" s="46"/>
      <c r="D861" s="55"/>
      <c r="E861" s="53"/>
      <c r="F861" s="53"/>
      <c r="H861" s="123">
        <f t="shared" si="175"/>
        <v>0</v>
      </c>
      <c r="I861" s="42"/>
      <c r="J861" s="26">
        <v>0</v>
      </c>
    </row>
    <row r="862" spans="1:10" x14ac:dyDescent="0.2">
      <c r="A862" s="53"/>
      <c r="B862" s="53"/>
      <c r="C862" s="46"/>
      <c r="D862" s="55"/>
      <c r="E862" s="53"/>
      <c r="F862" s="53"/>
      <c r="H862" s="123">
        <f t="shared" si="175"/>
        <v>0</v>
      </c>
      <c r="I862" s="42"/>
      <c r="J862" s="26">
        <v>0</v>
      </c>
    </row>
    <row r="863" spans="1:10" x14ac:dyDescent="0.2">
      <c r="A863" s="53"/>
      <c r="B863" s="53"/>
      <c r="C863" s="46"/>
      <c r="D863" s="55"/>
      <c r="E863" s="53"/>
      <c r="F863" s="53"/>
      <c r="H863" s="123">
        <f t="shared" ref="H863:H922" si="176">E863+G863</f>
        <v>0</v>
      </c>
      <c r="I863" s="42"/>
      <c r="J863" s="26">
        <v>0</v>
      </c>
    </row>
    <row r="864" spans="1:10" x14ac:dyDescent="0.2">
      <c r="A864" s="53"/>
      <c r="B864" s="53"/>
      <c r="C864" s="46"/>
      <c r="D864" s="55"/>
      <c r="E864" s="53"/>
      <c r="F864" s="53"/>
      <c r="H864" s="123">
        <f t="shared" si="176"/>
        <v>0</v>
      </c>
      <c r="I864" s="42"/>
      <c r="J864" s="26">
        <v>0</v>
      </c>
    </row>
    <row r="865" spans="1:10" x14ac:dyDescent="0.2">
      <c r="A865" s="53"/>
      <c r="B865" s="53"/>
      <c r="C865" s="46"/>
      <c r="D865" s="55"/>
      <c r="E865" s="53"/>
      <c r="F865" s="53"/>
      <c r="H865" s="123">
        <f t="shared" si="176"/>
        <v>0</v>
      </c>
      <c r="I865" s="42"/>
      <c r="J865" s="26">
        <v>0</v>
      </c>
    </row>
    <row r="866" spans="1:10" x14ac:dyDescent="0.2">
      <c r="A866" s="53"/>
      <c r="B866" s="53"/>
      <c r="C866" s="46"/>
      <c r="D866" s="55"/>
      <c r="E866" s="53"/>
      <c r="F866" s="53"/>
      <c r="H866" s="123">
        <f t="shared" si="176"/>
        <v>0</v>
      </c>
      <c r="I866" s="42"/>
      <c r="J866" s="26">
        <v>0</v>
      </c>
    </row>
    <row r="867" spans="1:10" x14ac:dyDescent="0.2">
      <c r="A867" s="53"/>
      <c r="B867" s="53"/>
      <c r="C867" s="46"/>
      <c r="D867" s="55"/>
      <c r="E867" s="53"/>
      <c r="F867" s="53"/>
      <c r="H867" s="123">
        <f t="shared" si="176"/>
        <v>0</v>
      </c>
      <c r="I867" s="42"/>
      <c r="J867" s="26">
        <v>0</v>
      </c>
    </row>
    <row r="868" spans="1:10" x14ac:dyDescent="0.2">
      <c r="A868" s="53"/>
      <c r="B868" s="53"/>
      <c r="C868" s="46"/>
      <c r="D868" s="55"/>
      <c r="E868" s="53"/>
      <c r="F868" s="53"/>
      <c r="H868" s="123">
        <f t="shared" si="176"/>
        <v>0</v>
      </c>
      <c r="I868" s="42"/>
      <c r="J868" s="26">
        <v>0</v>
      </c>
    </row>
    <row r="869" spans="1:10" x14ac:dyDescent="0.2">
      <c r="A869" s="53"/>
      <c r="B869" s="53"/>
      <c r="C869" s="46"/>
      <c r="D869" s="55"/>
      <c r="E869" s="53"/>
      <c r="F869" s="53"/>
      <c r="H869" s="123">
        <f t="shared" si="176"/>
        <v>0</v>
      </c>
      <c r="I869" s="42"/>
      <c r="J869" s="26">
        <v>0</v>
      </c>
    </row>
    <row r="870" spans="1:10" x14ac:dyDescent="0.2">
      <c r="A870" s="53"/>
      <c r="B870" s="53"/>
      <c r="C870" s="46"/>
      <c r="D870" s="55"/>
      <c r="E870" s="53"/>
      <c r="F870" s="53"/>
      <c r="H870" s="123">
        <f t="shared" si="176"/>
        <v>0</v>
      </c>
      <c r="I870" s="42"/>
      <c r="J870" s="26">
        <v>0</v>
      </c>
    </row>
    <row r="871" spans="1:10" x14ac:dyDescent="0.2">
      <c r="A871" s="53"/>
      <c r="B871" s="53"/>
      <c r="C871" s="46"/>
      <c r="D871" s="55"/>
      <c r="E871" s="53"/>
      <c r="F871" s="53"/>
      <c r="H871" s="123">
        <f t="shared" si="176"/>
        <v>0</v>
      </c>
      <c r="I871" s="42"/>
      <c r="J871" s="26">
        <v>0</v>
      </c>
    </row>
    <row r="872" spans="1:10" x14ac:dyDescent="0.2">
      <c r="A872" s="53"/>
      <c r="B872" s="53"/>
      <c r="C872" s="46"/>
      <c r="D872" s="55"/>
      <c r="E872" s="53"/>
      <c r="F872" s="53"/>
      <c r="H872" s="123">
        <f t="shared" si="176"/>
        <v>0</v>
      </c>
      <c r="I872" s="42"/>
      <c r="J872" s="26">
        <v>0</v>
      </c>
    </row>
    <row r="873" spans="1:10" x14ac:dyDescent="0.2">
      <c r="A873" s="53"/>
      <c r="B873" s="53"/>
      <c r="C873" s="46"/>
      <c r="D873" s="55"/>
      <c r="E873" s="53"/>
      <c r="F873" s="53"/>
      <c r="H873" s="123">
        <f t="shared" si="176"/>
        <v>0</v>
      </c>
      <c r="I873" s="42"/>
      <c r="J873" s="26">
        <v>0</v>
      </c>
    </row>
    <row r="874" spans="1:10" x14ac:dyDescent="0.2">
      <c r="A874" s="53"/>
      <c r="B874" s="53"/>
      <c r="C874" s="46"/>
      <c r="D874" s="55"/>
      <c r="E874" s="53"/>
      <c r="F874" s="53"/>
      <c r="H874" s="123">
        <f t="shared" si="176"/>
        <v>0</v>
      </c>
      <c r="I874" s="42"/>
      <c r="J874" s="26">
        <v>0</v>
      </c>
    </row>
    <row r="875" spans="1:10" x14ac:dyDescent="0.2">
      <c r="A875" s="53"/>
      <c r="B875" s="53"/>
      <c r="C875" s="46"/>
      <c r="D875" s="55"/>
      <c r="E875" s="53"/>
      <c r="F875" s="53"/>
      <c r="H875" s="123">
        <f t="shared" si="176"/>
        <v>0</v>
      </c>
      <c r="I875" s="42"/>
      <c r="J875" s="26">
        <v>0</v>
      </c>
    </row>
    <row r="876" spans="1:10" x14ac:dyDescent="0.2">
      <c r="A876" s="53"/>
      <c r="B876" s="53"/>
      <c r="C876" s="46"/>
      <c r="D876" s="55"/>
      <c r="E876" s="53"/>
      <c r="F876" s="53"/>
      <c r="H876" s="123">
        <f t="shared" si="176"/>
        <v>0</v>
      </c>
      <c r="I876" s="42"/>
      <c r="J876" s="26">
        <v>0</v>
      </c>
    </row>
    <row r="877" spans="1:10" x14ac:dyDescent="0.2">
      <c r="A877" s="53"/>
      <c r="B877" s="53"/>
      <c r="C877" s="46"/>
      <c r="D877" s="55"/>
      <c r="E877" s="53"/>
      <c r="F877" s="53"/>
      <c r="H877" s="123">
        <f t="shared" si="176"/>
        <v>0</v>
      </c>
      <c r="I877" s="42"/>
      <c r="J877" s="26">
        <v>0</v>
      </c>
    </row>
    <row r="878" spans="1:10" x14ac:dyDescent="0.2">
      <c r="A878" s="53"/>
      <c r="B878" s="53"/>
      <c r="C878" s="46"/>
      <c r="D878" s="55"/>
      <c r="E878" s="53"/>
      <c r="F878" s="53"/>
      <c r="H878" s="123">
        <f t="shared" si="176"/>
        <v>0</v>
      </c>
      <c r="I878" s="42"/>
      <c r="J878" s="26">
        <v>0</v>
      </c>
    </row>
    <row r="879" spans="1:10" x14ac:dyDescent="0.2">
      <c r="A879" s="53"/>
      <c r="B879" s="53"/>
      <c r="C879" s="46"/>
      <c r="D879" s="55"/>
      <c r="E879" s="53"/>
      <c r="F879" s="53"/>
      <c r="H879" s="123">
        <f t="shared" si="176"/>
        <v>0</v>
      </c>
      <c r="I879" s="42"/>
      <c r="J879" s="26">
        <v>0</v>
      </c>
    </row>
    <row r="880" spans="1:10" x14ac:dyDescent="0.2">
      <c r="A880" s="53"/>
      <c r="B880" s="53"/>
      <c r="C880" s="46"/>
      <c r="D880" s="55"/>
      <c r="E880" s="53"/>
      <c r="F880" s="53"/>
      <c r="H880" s="123">
        <f t="shared" si="176"/>
        <v>0</v>
      </c>
      <c r="I880" s="42"/>
      <c r="J880" s="26">
        <v>0</v>
      </c>
    </row>
    <row r="881" spans="1:10" x14ac:dyDescent="0.2">
      <c r="A881" s="53"/>
      <c r="B881" s="53"/>
      <c r="C881" s="46"/>
      <c r="D881" s="55"/>
      <c r="E881" s="53"/>
      <c r="F881" s="53"/>
      <c r="H881" s="123">
        <f t="shared" si="176"/>
        <v>0</v>
      </c>
      <c r="I881" s="42"/>
      <c r="J881" s="26">
        <v>0</v>
      </c>
    </row>
    <row r="882" spans="1:10" x14ac:dyDescent="0.2">
      <c r="A882" s="53"/>
      <c r="B882" s="53"/>
      <c r="C882" s="46"/>
      <c r="D882" s="55"/>
      <c r="E882" s="53"/>
      <c r="F882" s="53"/>
      <c r="H882" s="123">
        <f t="shared" si="176"/>
        <v>0</v>
      </c>
      <c r="I882" s="42"/>
      <c r="J882" s="26">
        <v>0</v>
      </c>
    </row>
    <row r="883" spans="1:10" x14ac:dyDescent="0.2">
      <c r="A883" s="53"/>
      <c r="B883" s="53"/>
      <c r="C883" s="46"/>
      <c r="D883" s="55"/>
      <c r="E883" s="53"/>
      <c r="F883" s="53"/>
      <c r="H883" s="123">
        <f t="shared" si="176"/>
        <v>0</v>
      </c>
      <c r="I883" s="42"/>
      <c r="J883" s="26">
        <v>0</v>
      </c>
    </row>
    <row r="884" spans="1:10" x14ac:dyDescent="0.2">
      <c r="A884" s="53"/>
      <c r="B884" s="53"/>
      <c r="C884" s="46"/>
      <c r="D884" s="55"/>
      <c r="E884" s="53"/>
      <c r="F884" s="53"/>
      <c r="H884" s="123">
        <f t="shared" si="176"/>
        <v>0</v>
      </c>
      <c r="I884" s="42"/>
      <c r="J884" s="26">
        <v>0</v>
      </c>
    </row>
    <row r="885" spans="1:10" x14ac:dyDescent="0.2">
      <c r="A885" s="53"/>
      <c r="B885" s="53"/>
      <c r="C885" s="46"/>
      <c r="D885" s="55"/>
      <c r="E885" s="53"/>
      <c r="F885" s="53"/>
      <c r="H885" s="123">
        <f t="shared" si="176"/>
        <v>0</v>
      </c>
      <c r="I885" s="42"/>
      <c r="J885" s="26">
        <v>0</v>
      </c>
    </row>
    <row r="886" spans="1:10" x14ac:dyDescent="0.2">
      <c r="A886" s="53"/>
      <c r="B886" s="53"/>
      <c r="C886" s="46"/>
      <c r="D886" s="55"/>
      <c r="E886" s="53"/>
      <c r="F886" s="53"/>
      <c r="H886" s="123">
        <f t="shared" si="176"/>
        <v>0</v>
      </c>
      <c r="I886" s="42"/>
      <c r="J886" s="26">
        <v>0</v>
      </c>
    </row>
    <row r="887" spans="1:10" x14ac:dyDescent="0.2">
      <c r="A887" s="53"/>
      <c r="B887" s="53"/>
      <c r="C887" s="46"/>
      <c r="D887" s="55"/>
      <c r="E887" s="53"/>
      <c r="F887" s="53"/>
      <c r="H887" s="123">
        <f t="shared" si="176"/>
        <v>0</v>
      </c>
      <c r="I887" s="42"/>
      <c r="J887" s="26">
        <v>0</v>
      </c>
    </row>
    <row r="888" spans="1:10" x14ac:dyDescent="0.2">
      <c r="A888" s="53"/>
      <c r="B888" s="53"/>
      <c r="C888" s="46"/>
      <c r="D888" s="55"/>
      <c r="E888" s="53"/>
      <c r="F888" s="53"/>
      <c r="H888" s="123">
        <f t="shared" si="176"/>
        <v>0</v>
      </c>
      <c r="I888" s="42"/>
      <c r="J888" s="26">
        <v>0</v>
      </c>
    </row>
    <row r="889" spans="1:10" x14ac:dyDescent="0.2">
      <c r="A889" s="53"/>
      <c r="B889" s="53"/>
      <c r="C889" s="46"/>
      <c r="D889" s="55"/>
      <c r="E889" s="53"/>
      <c r="F889" s="53"/>
      <c r="H889" s="123">
        <f t="shared" si="176"/>
        <v>0</v>
      </c>
      <c r="I889" s="42"/>
      <c r="J889" s="26">
        <v>0</v>
      </c>
    </row>
    <row r="890" spans="1:10" x14ac:dyDescent="0.2">
      <c r="A890" s="53"/>
      <c r="B890" s="53"/>
      <c r="C890" s="46"/>
      <c r="D890" s="55"/>
      <c r="E890" s="53"/>
      <c r="F890" s="53"/>
      <c r="H890" s="123">
        <f t="shared" si="176"/>
        <v>0</v>
      </c>
      <c r="I890" s="42"/>
      <c r="J890" s="26">
        <v>0</v>
      </c>
    </row>
    <row r="891" spans="1:10" x14ac:dyDescent="0.2">
      <c r="A891" s="53"/>
      <c r="B891" s="53"/>
      <c r="C891" s="46"/>
      <c r="D891" s="55"/>
      <c r="E891" s="53"/>
      <c r="F891" s="53"/>
      <c r="H891" s="123">
        <f t="shared" si="176"/>
        <v>0</v>
      </c>
      <c r="I891" s="42"/>
      <c r="J891" s="26">
        <v>0</v>
      </c>
    </row>
    <row r="892" spans="1:10" x14ac:dyDescent="0.2">
      <c r="A892" s="53"/>
      <c r="B892" s="53"/>
      <c r="C892" s="46"/>
      <c r="D892" s="55"/>
      <c r="E892" s="53"/>
      <c r="F892" s="53"/>
      <c r="H892" s="123">
        <f t="shared" si="176"/>
        <v>0</v>
      </c>
      <c r="I892" s="42"/>
      <c r="J892" s="26">
        <v>0</v>
      </c>
    </row>
    <row r="893" spans="1:10" x14ac:dyDescent="0.2">
      <c r="A893" s="53"/>
      <c r="B893" s="53"/>
      <c r="C893" s="46"/>
      <c r="D893" s="55"/>
      <c r="E893" s="53"/>
      <c r="F893" s="53"/>
      <c r="H893" s="123">
        <f t="shared" si="176"/>
        <v>0</v>
      </c>
      <c r="I893" s="42"/>
      <c r="J893" s="26">
        <v>0</v>
      </c>
    </row>
    <row r="894" spans="1:10" x14ac:dyDescent="0.2">
      <c r="A894" s="53"/>
      <c r="B894" s="53"/>
      <c r="C894" s="46"/>
      <c r="D894" s="55"/>
      <c r="E894" s="53"/>
      <c r="F894" s="53"/>
      <c r="H894" s="123">
        <f t="shared" si="176"/>
        <v>0</v>
      </c>
      <c r="I894" s="42"/>
      <c r="J894" s="26">
        <v>0</v>
      </c>
    </row>
    <row r="895" spans="1:10" x14ac:dyDescent="0.2">
      <c r="A895" s="53"/>
      <c r="B895" s="53"/>
      <c r="C895" s="46"/>
      <c r="D895" s="55"/>
      <c r="E895" s="53"/>
      <c r="F895" s="53"/>
      <c r="H895" s="123">
        <f t="shared" si="176"/>
        <v>0</v>
      </c>
      <c r="I895" s="42"/>
      <c r="J895" s="26">
        <v>0</v>
      </c>
    </row>
    <row r="896" spans="1:10" x14ac:dyDescent="0.2">
      <c r="A896" s="53"/>
      <c r="B896" s="53"/>
      <c r="C896" s="46"/>
      <c r="D896" s="55"/>
      <c r="E896" s="53"/>
      <c r="F896" s="53"/>
      <c r="H896" s="123">
        <f t="shared" si="176"/>
        <v>0</v>
      </c>
      <c r="I896" s="42"/>
      <c r="J896" s="26">
        <v>0</v>
      </c>
    </row>
    <row r="897" spans="1:10" x14ac:dyDescent="0.2">
      <c r="A897" s="53"/>
      <c r="B897" s="53"/>
      <c r="C897" s="46"/>
      <c r="D897" s="55"/>
      <c r="E897" s="53"/>
      <c r="F897" s="53"/>
      <c r="H897" s="123">
        <f t="shared" si="176"/>
        <v>0</v>
      </c>
      <c r="I897" s="42"/>
      <c r="J897" s="26">
        <v>0</v>
      </c>
    </row>
    <row r="898" spans="1:10" x14ac:dyDescent="0.2">
      <c r="A898" s="53"/>
      <c r="B898" s="53"/>
      <c r="C898" s="46"/>
      <c r="D898" s="55"/>
      <c r="E898" s="53"/>
      <c r="F898" s="53"/>
      <c r="H898" s="123">
        <f t="shared" si="176"/>
        <v>0</v>
      </c>
      <c r="I898" s="42"/>
      <c r="J898" s="26">
        <v>0</v>
      </c>
    </row>
    <row r="899" spans="1:10" x14ac:dyDescent="0.2">
      <c r="A899" s="53"/>
      <c r="B899" s="53"/>
      <c r="C899" s="46"/>
      <c r="D899" s="55"/>
      <c r="E899" s="53"/>
      <c r="F899" s="53"/>
      <c r="H899" s="123">
        <f t="shared" si="176"/>
        <v>0</v>
      </c>
      <c r="I899" s="42"/>
      <c r="J899" s="26">
        <v>0</v>
      </c>
    </row>
    <row r="900" spans="1:10" x14ac:dyDescent="0.2">
      <c r="A900" s="53"/>
      <c r="B900" s="53"/>
      <c r="C900" s="46"/>
      <c r="D900" s="55"/>
      <c r="E900" s="53"/>
      <c r="F900" s="53"/>
      <c r="H900" s="123">
        <f t="shared" si="176"/>
        <v>0</v>
      </c>
      <c r="I900" s="42"/>
      <c r="J900" s="26">
        <v>0</v>
      </c>
    </row>
    <row r="901" spans="1:10" x14ac:dyDescent="0.2">
      <c r="A901" s="53"/>
      <c r="B901" s="53"/>
      <c r="C901" s="46"/>
      <c r="D901" s="55"/>
      <c r="E901" s="53"/>
      <c r="F901" s="53"/>
      <c r="H901" s="123">
        <f t="shared" si="176"/>
        <v>0</v>
      </c>
      <c r="I901" s="42"/>
      <c r="J901" s="26">
        <v>0</v>
      </c>
    </row>
    <row r="902" spans="1:10" x14ac:dyDescent="0.2">
      <c r="A902" s="53"/>
      <c r="B902" s="53"/>
      <c r="C902" s="46"/>
      <c r="D902" s="55"/>
      <c r="E902" s="53"/>
      <c r="F902" s="53"/>
      <c r="H902" s="123">
        <f t="shared" si="176"/>
        <v>0</v>
      </c>
      <c r="I902" s="42"/>
      <c r="J902" s="26">
        <v>0</v>
      </c>
    </row>
    <row r="903" spans="1:10" x14ac:dyDescent="0.2">
      <c r="A903" s="53"/>
      <c r="B903" s="53"/>
      <c r="C903" s="46"/>
      <c r="D903" s="55"/>
      <c r="E903" s="53"/>
      <c r="F903" s="53"/>
      <c r="H903" s="123">
        <f t="shared" si="176"/>
        <v>0</v>
      </c>
      <c r="I903" s="42"/>
      <c r="J903" s="26">
        <v>0</v>
      </c>
    </row>
    <row r="904" spans="1:10" x14ac:dyDescent="0.2">
      <c r="A904" s="53"/>
      <c r="B904" s="53"/>
      <c r="C904" s="46"/>
      <c r="D904" s="55"/>
      <c r="E904" s="53"/>
      <c r="F904" s="53"/>
      <c r="H904" s="123">
        <f t="shared" si="176"/>
        <v>0</v>
      </c>
      <c r="I904" s="42"/>
      <c r="J904" s="26">
        <v>0</v>
      </c>
    </row>
    <row r="905" spans="1:10" x14ac:dyDescent="0.2">
      <c r="A905" s="53"/>
      <c r="B905" s="53"/>
      <c r="C905" s="46"/>
      <c r="D905" s="55"/>
      <c r="E905" s="53"/>
      <c r="F905" s="53"/>
      <c r="H905" s="123">
        <f t="shared" si="176"/>
        <v>0</v>
      </c>
      <c r="I905" s="42"/>
      <c r="J905" s="26">
        <v>0</v>
      </c>
    </row>
    <row r="906" spans="1:10" x14ac:dyDescent="0.2">
      <c r="A906" s="53"/>
      <c r="B906" s="53"/>
      <c r="C906" s="46"/>
      <c r="D906" s="55"/>
      <c r="E906" s="53"/>
      <c r="F906" s="53"/>
      <c r="H906" s="123">
        <f t="shared" si="176"/>
        <v>0</v>
      </c>
      <c r="I906" s="42"/>
      <c r="J906" s="26">
        <v>0</v>
      </c>
    </row>
    <row r="907" spans="1:10" x14ac:dyDescent="0.2">
      <c r="A907" s="53"/>
      <c r="B907" s="53"/>
      <c r="C907" s="46"/>
      <c r="D907" s="55"/>
      <c r="E907" s="53"/>
      <c r="F907" s="53"/>
      <c r="H907" s="123">
        <f t="shared" si="176"/>
        <v>0</v>
      </c>
      <c r="I907" s="42"/>
      <c r="J907" s="26">
        <v>0</v>
      </c>
    </row>
    <row r="908" spans="1:10" x14ac:dyDescent="0.2">
      <c r="A908" s="53"/>
      <c r="B908" s="53"/>
      <c r="C908" s="46"/>
      <c r="D908" s="55"/>
      <c r="E908" s="53"/>
      <c r="F908" s="53"/>
      <c r="H908" s="123">
        <f t="shared" si="176"/>
        <v>0</v>
      </c>
      <c r="I908" s="42"/>
      <c r="J908" s="26">
        <v>0</v>
      </c>
    </row>
    <row r="909" spans="1:10" x14ac:dyDescent="0.2">
      <c r="A909" s="53"/>
      <c r="B909" s="53"/>
      <c r="C909" s="46"/>
      <c r="D909" s="55"/>
      <c r="E909" s="53"/>
      <c r="F909" s="53"/>
      <c r="H909" s="123">
        <f t="shared" si="176"/>
        <v>0</v>
      </c>
      <c r="I909" s="42"/>
      <c r="J909" s="26">
        <v>0</v>
      </c>
    </row>
    <row r="910" spans="1:10" x14ac:dyDescent="0.2">
      <c r="A910" s="53"/>
      <c r="B910" s="53"/>
      <c r="C910" s="46"/>
      <c r="D910" s="55"/>
      <c r="E910" s="53"/>
      <c r="F910" s="53"/>
      <c r="H910" s="123">
        <f t="shared" si="176"/>
        <v>0</v>
      </c>
      <c r="I910" s="42"/>
      <c r="J910" s="26">
        <v>0</v>
      </c>
    </row>
    <row r="911" spans="1:10" x14ac:dyDescent="0.2">
      <c r="A911" s="53"/>
      <c r="B911" s="53"/>
      <c r="C911" s="46"/>
      <c r="D911" s="55"/>
      <c r="E911" s="53"/>
      <c r="F911" s="53"/>
      <c r="H911" s="123">
        <f t="shared" si="176"/>
        <v>0</v>
      </c>
      <c r="I911" s="42"/>
      <c r="J911" s="26">
        <v>0</v>
      </c>
    </row>
    <row r="912" spans="1:10" x14ac:dyDescent="0.2">
      <c r="A912" s="53"/>
      <c r="B912" s="53"/>
      <c r="C912" s="46"/>
      <c r="D912" s="55"/>
      <c r="E912" s="53"/>
      <c r="F912" s="53"/>
      <c r="H912" s="123">
        <f t="shared" si="176"/>
        <v>0</v>
      </c>
      <c r="I912" s="42"/>
      <c r="J912" s="26">
        <v>0</v>
      </c>
    </row>
    <row r="913" spans="1:10" x14ac:dyDescent="0.2">
      <c r="A913" s="53"/>
      <c r="B913" s="53"/>
      <c r="C913" s="46"/>
      <c r="D913" s="55"/>
      <c r="E913" s="53"/>
      <c r="F913" s="53"/>
      <c r="H913" s="123">
        <f t="shared" si="176"/>
        <v>0</v>
      </c>
      <c r="I913" s="42"/>
      <c r="J913" s="26">
        <v>0</v>
      </c>
    </row>
    <row r="914" spans="1:10" x14ac:dyDescent="0.2">
      <c r="A914" s="53"/>
      <c r="B914" s="53"/>
      <c r="C914" s="46"/>
      <c r="D914" s="55"/>
      <c r="E914" s="53"/>
      <c r="F914" s="53"/>
      <c r="H914" s="123">
        <f t="shared" si="176"/>
        <v>0</v>
      </c>
      <c r="I914" s="42"/>
      <c r="J914" s="26">
        <v>0</v>
      </c>
    </row>
    <row r="915" spans="1:10" x14ac:dyDescent="0.2">
      <c r="A915" s="53"/>
      <c r="B915" s="53"/>
      <c r="C915" s="46"/>
      <c r="D915" s="55"/>
      <c r="E915" s="53"/>
      <c r="F915" s="53"/>
      <c r="H915" s="123">
        <f t="shared" si="176"/>
        <v>0</v>
      </c>
      <c r="I915" s="42"/>
      <c r="J915" s="26">
        <v>0</v>
      </c>
    </row>
    <row r="916" spans="1:10" x14ac:dyDescent="0.2">
      <c r="A916" s="53"/>
      <c r="B916" s="53"/>
      <c r="C916" s="46"/>
      <c r="D916" s="55"/>
      <c r="E916" s="53"/>
      <c r="F916" s="53"/>
      <c r="H916" s="123">
        <f t="shared" si="176"/>
        <v>0</v>
      </c>
      <c r="I916" s="42"/>
      <c r="J916" s="26">
        <v>0</v>
      </c>
    </row>
    <row r="917" spans="1:10" x14ac:dyDescent="0.2">
      <c r="A917" s="53"/>
      <c r="B917" s="53"/>
      <c r="C917" s="46"/>
      <c r="D917" s="55"/>
      <c r="E917" s="53"/>
      <c r="F917" s="53"/>
      <c r="H917" s="123">
        <f t="shared" si="176"/>
        <v>0</v>
      </c>
      <c r="I917" s="42"/>
      <c r="J917" s="26">
        <v>0</v>
      </c>
    </row>
    <row r="918" spans="1:10" x14ac:dyDescent="0.2">
      <c r="A918" s="53"/>
      <c r="B918" s="53"/>
      <c r="C918" s="46"/>
      <c r="D918" s="55"/>
      <c r="E918" s="53"/>
      <c r="F918" s="53"/>
      <c r="H918" s="123">
        <f t="shared" si="176"/>
        <v>0</v>
      </c>
      <c r="I918" s="42"/>
      <c r="J918" s="26">
        <v>0</v>
      </c>
    </row>
    <row r="919" spans="1:10" x14ac:dyDescent="0.2">
      <c r="A919" s="53"/>
      <c r="B919" s="53"/>
      <c r="C919" s="46"/>
      <c r="D919" s="55"/>
      <c r="E919" s="53"/>
      <c r="F919" s="53"/>
      <c r="H919" s="123">
        <f t="shared" si="176"/>
        <v>0</v>
      </c>
      <c r="I919" s="42"/>
      <c r="J919" s="26">
        <v>0</v>
      </c>
    </row>
    <row r="920" spans="1:10" x14ac:dyDescent="0.2">
      <c r="A920" s="53"/>
      <c r="B920" s="53"/>
      <c r="C920" s="46"/>
      <c r="D920" s="55"/>
      <c r="E920" s="53"/>
      <c r="F920" s="53"/>
      <c r="H920" s="123">
        <f t="shared" si="176"/>
        <v>0</v>
      </c>
      <c r="I920" s="42"/>
      <c r="J920" s="26">
        <v>0</v>
      </c>
    </row>
    <row r="921" spans="1:10" x14ac:dyDescent="0.2">
      <c r="A921" s="53"/>
      <c r="B921" s="53"/>
      <c r="C921" s="46"/>
      <c r="D921" s="55"/>
      <c r="E921" s="53"/>
      <c r="F921" s="53"/>
      <c r="H921" s="123">
        <f t="shared" si="176"/>
        <v>0</v>
      </c>
      <c r="I921" s="42"/>
      <c r="J921" s="26">
        <v>0</v>
      </c>
    </row>
    <row r="922" spans="1:10" x14ac:dyDescent="0.2">
      <c r="A922" s="53"/>
      <c r="B922" s="53"/>
      <c r="C922" s="46"/>
      <c r="D922" s="55"/>
      <c r="E922" s="53"/>
      <c r="F922" s="53"/>
      <c r="H922" s="123">
        <f t="shared" si="176"/>
        <v>0</v>
      </c>
      <c r="I922" s="42"/>
      <c r="J922" s="26">
        <v>0</v>
      </c>
    </row>
  </sheetData>
  <autoFilter ref="A1:J922" xr:uid="{F3E6751F-BF79-6347-9560-8C9F8134488E}"/>
  <pageMargins left="0.7" right="0.7" top="0.75" bottom="0.75" header="0.3" footer="0.3"/>
  <pageSetup paperSize="9" scale="58" fitToHeight="0" orientation="portrait" horizontalDpi="0" verticalDpi="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C8C850-ECEC-7844-8BA2-EADA3E61EF1C}">
          <x14:formula1>
            <xm:f>'OLD-KPI'!$A$5:$A$29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5AAC-6607-DE4E-B15C-54FE4685CAFF}">
  <dimension ref="A1:T63"/>
  <sheetViews>
    <sheetView zoomScale="120" zoomScaleNormal="120" workbookViewId="0">
      <pane xSplit="2" ySplit="5" topLeftCell="C13" activePane="bottomRight" state="frozenSplit"/>
      <selection pane="topRight" activeCell="C1" sqref="C1"/>
      <selection pane="bottomLeft" activeCell="A24" sqref="A24"/>
      <selection pane="bottomRight" activeCell="A63" sqref="A63"/>
    </sheetView>
  </sheetViews>
  <sheetFormatPr baseColWidth="10" defaultRowHeight="16" x14ac:dyDescent="0.2"/>
  <cols>
    <col min="1" max="1" width="45.83203125" customWidth="1"/>
    <col min="2" max="2" width="11.83203125" bestFit="1" customWidth="1"/>
    <col min="5" max="5" width="11.33203125" customWidth="1"/>
    <col min="7" max="8" width="11.33203125" customWidth="1"/>
    <col min="9" max="9" width="11.1640625" customWidth="1"/>
    <col min="10" max="10" width="11.5" customWidth="1"/>
    <col min="11" max="15" width="11.33203125" customWidth="1"/>
  </cols>
  <sheetData>
    <row r="1" spans="1:19" ht="29" x14ac:dyDescent="0.35">
      <c r="A1" s="11" t="s">
        <v>253</v>
      </c>
      <c r="O1" s="150"/>
      <c r="P1" s="150"/>
    </row>
    <row r="2" spans="1:19" x14ac:dyDescent="0.2">
      <c r="A2" s="20" t="s">
        <v>88</v>
      </c>
    </row>
    <row r="3" spans="1:19" ht="19" x14ac:dyDescent="0.25">
      <c r="A3" s="51" t="s">
        <v>255</v>
      </c>
      <c r="B3" s="50">
        <f>B10+B24</f>
        <v>8.1790410930329589</v>
      </c>
      <c r="C3" t="s">
        <v>256</v>
      </c>
      <c r="M3" s="50">
        <f>M10+M24</f>
        <v>-10.197843137254903</v>
      </c>
      <c r="N3" s="50">
        <f>N10+N24</f>
        <v>10.539002509410281</v>
      </c>
      <c r="O3" s="50">
        <f>O10+O24</f>
        <v>17.446795804195805</v>
      </c>
    </row>
    <row r="4" spans="1:19" ht="19" x14ac:dyDescent="0.25">
      <c r="A4" s="51" t="s">
        <v>257</v>
      </c>
      <c r="B4" s="50">
        <f>B10+B24+B37</f>
        <v>96.152157724933943</v>
      </c>
    </row>
    <row r="5" spans="1:19" ht="19" x14ac:dyDescent="0.25">
      <c r="A5" s="21"/>
      <c r="B5" s="22"/>
      <c r="C5" s="6">
        <v>2013</v>
      </c>
      <c r="D5" s="6">
        <v>2014</v>
      </c>
      <c r="E5" s="6">
        <v>2015</v>
      </c>
      <c r="F5" s="6">
        <v>2016</v>
      </c>
      <c r="G5" s="6">
        <v>2017</v>
      </c>
      <c r="H5" s="6">
        <v>2018</v>
      </c>
      <c r="I5" s="6">
        <v>2019</v>
      </c>
      <c r="J5" s="6">
        <v>2020</v>
      </c>
      <c r="K5" s="6">
        <v>2021</v>
      </c>
      <c r="L5" s="6">
        <v>2022</v>
      </c>
      <c r="M5" s="6">
        <v>2023</v>
      </c>
      <c r="N5" s="6">
        <v>2024</v>
      </c>
      <c r="O5" s="6">
        <v>2025</v>
      </c>
    </row>
    <row r="6" spans="1:19" x14ac:dyDescent="0.2">
      <c r="A6" s="22" t="s">
        <v>258</v>
      </c>
      <c r="C6">
        <v>856.7</v>
      </c>
      <c r="D6">
        <v>905.6</v>
      </c>
      <c r="E6">
        <v>910.1</v>
      </c>
      <c r="F6">
        <v>951.1</v>
      </c>
      <c r="G6">
        <v>970.7</v>
      </c>
      <c r="H6">
        <v>979.9</v>
      </c>
      <c r="I6">
        <v>1065.0999999999999</v>
      </c>
      <c r="J6">
        <v>1076.5999999999999</v>
      </c>
      <c r="K6">
        <v>1109.2</v>
      </c>
      <c r="L6">
        <v>1178.5999999999999</v>
      </c>
      <c r="M6">
        <v>1294.5999999999999</v>
      </c>
      <c r="N6">
        <v>1379.6</v>
      </c>
      <c r="O6">
        <v>1459.3</v>
      </c>
    </row>
    <row r="7" spans="1:19" x14ac:dyDescent="0.2">
      <c r="A7" s="166" t="s">
        <v>259</v>
      </c>
      <c r="C7">
        <v>905.6</v>
      </c>
      <c r="D7">
        <v>910.1</v>
      </c>
      <c r="E7">
        <v>951.1</v>
      </c>
      <c r="F7">
        <v>970.7</v>
      </c>
      <c r="G7">
        <v>979.9</v>
      </c>
      <c r="H7">
        <v>1065.0999999999999</v>
      </c>
      <c r="I7">
        <v>1076.5999999999999</v>
      </c>
      <c r="J7">
        <v>1109.2</v>
      </c>
      <c r="K7">
        <v>1178.5999999999999</v>
      </c>
      <c r="L7">
        <v>1294.5999999999999</v>
      </c>
      <c r="M7">
        <v>1379.6</v>
      </c>
      <c r="N7" s="133">
        <v>1459.3</v>
      </c>
      <c r="O7" s="118">
        <v>1530.8</v>
      </c>
    </row>
    <row r="8" spans="1:19" x14ac:dyDescent="0.2">
      <c r="A8" s="167" t="s">
        <v>260</v>
      </c>
      <c r="B8" s="15"/>
      <c r="C8" s="15">
        <f>C7-C6</f>
        <v>48.899999999999977</v>
      </c>
      <c r="D8" s="15">
        <f t="shared" ref="D8:N8" si="0">D7-D6</f>
        <v>4.5</v>
      </c>
      <c r="E8" s="15">
        <f t="shared" si="0"/>
        <v>41</v>
      </c>
      <c r="F8" s="15">
        <f t="shared" si="0"/>
        <v>19.600000000000023</v>
      </c>
      <c r="G8" s="15">
        <f t="shared" si="0"/>
        <v>9.1999999999999318</v>
      </c>
      <c r="H8" s="15">
        <f t="shared" si="0"/>
        <v>85.199999999999932</v>
      </c>
      <c r="I8" s="15">
        <f t="shared" si="0"/>
        <v>11.5</v>
      </c>
      <c r="J8" s="15">
        <f t="shared" si="0"/>
        <v>32.600000000000136</v>
      </c>
      <c r="K8" s="15">
        <f t="shared" si="0"/>
        <v>69.399999999999864</v>
      </c>
      <c r="L8" s="15">
        <f t="shared" si="0"/>
        <v>116</v>
      </c>
      <c r="M8" s="15">
        <f t="shared" si="0"/>
        <v>85</v>
      </c>
      <c r="N8" s="15">
        <f t="shared" si="0"/>
        <v>79.700000000000045</v>
      </c>
      <c r="O8" s="15">
        <f t="shared" ref="O8" si="1">O7-O6</f>
        <v>71.5</v>
      </c>
      <c r="Q8" s="149">
        <f>O7-C6</f>
        <v>674.09999999999991</v>
      </c>
      <c r="R8" s="147" t="s">
        <v>261</v>
      </c>
      <c r="S8" s="148"/>
    </row>
    <row r="9" spans="1:19" ht="19" x14ac:dyDescent="0.25">
      <c r="A9" s="28" t="s">
        <v>262</v>
      </c>
    </row>
    <row r="10" spans="1:19" x14ac:dyDescent="0.2">
      <c r="A10" s="34" t="s">
        <v>263</v>
      </c>
      <c r="B10" s="35">
        <f>B11+B15</f>
        <v>1.612823320817689</v>
      </c>
      <c r="M10" s="117">
        <f>M11+M15</f>
        <v>1.7241176470588235</v>
      </c>
      <c r="N10" s="117">
        <f>N11+N15</f>
        <v>2.5926913425345028</v>
      </c>
      <c r="O10" s="117">
        <f>O11+O15</f>
        <v>0</v>
      </c>
    </row>
    <row r="11" spans="1:19" x14ac:dyDescent="0.2">
      <c r="A11" s="29" t="s">
        <v>264</v>
      </c>
      <c r="B11" s="32">
        <f>SUM(H12:N12)/SUM(H$8:N$8)</f>
        <v>0.51770442219440971</v>
      </c>
      <c r="C11" s="15"/>
      <c r="D11" s="15"/>
      <c r="E11" s="15"/>
      <c r="F11" s="15"/>
      <c r="G11" s="15"/>
      <c r="H11" s="14">
        <f>H12/H$8</f>
        <v>0</v>
      </c>
      <c r="I11" s="14">
        <f t="shared" ref="I11:K11" si="2">I12/I$8</f>
        <v>0</v>
      </c>
      <c r="J11" s="14">
        <f t="shared" si="2"/>
        <v>0</v>
      </c>
      <c r="K11" s="14">
        <f t="shared" si="2"/>
        <v>0</v>
      </c>
      <c r="L11" s="14">
        <f t="shared" ref="L11" si="3">L12/L$8</f>
        <v>0</v>
      </c>
      <c r="M11" s="14">
        <f t="shared" ref="M11" si="4">M12/M$8</f>
        <v>1.1476470588235295</v>
      </c>
      <c r="N11" s="14">
        <f>N12/N$8</f>
        <v>1.8900564617314919</v>
      </c>
      <c r="O11" s="14">
        <f>O12/O$8</f>
        <v>0</v>
      </c>
    </row>
    <row r="12" spans="1:19" x14ac:dyDescent="0.2">
      <c r="A12" s="169" t="s">
        <v>265</v>
      </c>
      <c r="B12" s="8"/>
      <c r="C12" s="25">
        <f>C13+C14</f>
        <v>131.19200000000001</v>
      </c>
      <c r="D12" s="25">
        <f t="shared" ref="D12:N12" si="5">D13+D14</f>
        <v>3000.3270000000002</v>
      </c>
      <c r="E12" s="25">
        <f t="shared" si="5"/>
        <v>1393.6657</v>
      </c>
      <c r="F12" s="25">
        <f t="shared" si="5"/>
        <v>1814.0967000000001</v>
      </c>
      <c r="G12" s="25">
        <f t="shared" si="5"/>
        <v>173.53440000000001</v>
      </c>
      <c r="H12" s="25">
        <f t="shared" si="5"/>
        <v>0</v>
      </c>
      <c r="I12" s="25">
        <f t="shared" si="5"/>
        <v>0</v>
      </c>
      <c r="J12" s="25">
        <f t="shared" si="5"/>
        <v>0</v>
      </c>
      <c r="K12" s="25">
        <f t="shared" si="5"/>
        <v>0</v>
      </c>
      <c r="L12" s="25">
        <f t="shared" si="5"/>
        <v>0</v>
      </c>
      <c r="M12" s="25">
        <f t="shared" si="5"/>
        <v>97.55</v>
      </c>
      <c r="N12" s="25">
        <f t="shared" si="5"/>
        <v>150.63749999999999</v>
      </c>
      <c r="O12" s="25">
        <f t="shared" ref="O12" si="6">O13+O14</f>
        <v>0</v>
      </c>
    </row>
    <row r="13" spans="1:19" x14ac:dyDescent="0.2">
      <c r="A13" s="165" t="str">
        <f>'OLD-KPI'!A7</f>
        <v>V-Oil &amp; misc material</v>
      </c>
      <c r="C13" s="23">
        <f t="shared" ref="C13:O14" si="7">SUMIFS(Montant,StatsYear,C$5,StatsType,$A13)</f>
        <v>131.19200000000001</v>
      </c>
      <c r="D13" s="23">
        <f t="shared" si="7"/>
        <v>142.577</v>
      </c>
      <c r="E13" s="23">
        <f t="shared" si="7"/>
        <v>660.5406999999999</v>
      </c>
      <c r="F13" s="23">
        <f t="shared" si="7"/>
        <v>173.53440000000001</v>
      </c>
      <c r="G13" s="23">
        <f t="shared" si="7"/>
        <v>173.53440000000001</v>
      </c>
      <c r="H13" s="23">
        <f t="shared" si="7"/>
        <v>0</v>
      </c>
      <c r="I13" s="23">
        <f t="shared" si="7"/>
        <v>0</v>
      </c>
      <c r="J13" s="23">
        <f t="shared" si="7"/>
        <v>0</v>
      </c>
      <c r="K13" s="23">
        <f t="shared" si="7"/>
        <v>0</v>
      </c>
      <c r="L13" s="23">
        <f t="shared" si="7"/>
        <v>0</v>
      </c>
      <c r="M13" s="23">
        <f t="shared" si="7"/>
        <v>97.55</v>
      </c>
      <c r="N13" s="23">
        <f t="shared" si="7"/>
        <v>0</v>
      </c>
      <c r="O13" s="23">
        <f t="shared" si="7"/>
        <v>0</v>
      </c>
    </row>
    <row r="14" spans="1:19" x14ac:dyDescent="0.2">
      <c r="A14" s="165" t="str">
        <f>'OLD-KPI'!A8</f>
        <v>V-Visit 50h &amp; 100h</v>
      </c>
      <c r="B14" s="15"/>
      <c r="C14" s="27">
        <f t="shared" si="7"/>
        <v>0</v>
      </c>
      <c r="D14" s="27">
        <f t="shared" si="7"/>
        <v>2857.75</v>
      </c>
      <c r="E14" s="27">
        <f t="shared" si="7"/>
        <v>733.125</v>
      </c>
      <c r="F14" s="27">
        <f t="shared" si="7"/>
        <v>1640.5623000000001</v>
      </c>
      <c r="G14" s="27">
        <f t="shared" si="7"/>
        <v>0</v>
      </c>
      <c r="H14" s="27">
        <f t="shared" si="7"/>
        <v>0</v>
      </c>
      <c r="I14" s="27">
        <f t="shared" si="7"/>
        <v>0</v>
      </c>
      <c r="J14" s="27">
        <f t="shared" si="7"/>
        <v>0</v>
      </c>
      <c r="K14" s="27">
        <f t="shared" si="7"/>
        <v>0</v>
      </c>
      <c r="L14" s="27">
        <f t="shared" si="7"/>
        <v>0</v>
      </c>
      <c r="M14" s="27">
        <f t="shared" si="7"/>
        <v>0</v>
      </c>
      <c r="N14" s="27">
        <f t="shared" si="7"/>
        <v>150.63749999999999</v>
      </c>
      <c r="O14" s="27">
        <f t="shared" si="7"/>
        <v>0</v>
      </c>
    </row>
    <row r="15" spans="1:19" x14ac:dyDescent="0.2">
      <c r="A15" s="19" t="s">
        <v>266</v>
      </c>
      <c r="B15" s="30">
        <f>SUM(H17:N17)/SUM(H$8:N$8)</f>
        <v>1.0951188986232792</v>
      </c>
      <c r="C15" s="8"/>
      <c r="D15" s="8"/>
      <c r="E15" s="8"/>
      <c r="F15" s="8"/>
      <c r="G15" s="8"/>
      <c r="H15" s="30">
        <f>H17/H$8</f>
        <v>1.2910798122065739</v>
      </c>
      <c r="I15" s="30">
        <f>I17/I$8</f>
        <v>0</v>
      </c>
      <c r="J15" s="30">
        <f>J17/J$8</f>
        <v>0</v>
      </c>
      <c r="K15" s="30">
        <f>K17/K$8</f>
        <v>0</v>
      </c>
      <c r="L15" s="30">
        <f>L17/L$8</f>
        <v>2.6724137931034484</v>
      </c>
      <c r="M15" s="30">
        <f t="shared" ref="M15:N15" si="8">M17/M$8</f>
        <v>0.57647058823529407</v>
      </c>
      <c r="N15" s="30">
        <f t="shared" si="8"/>
        <v>0.70263488080301084</v>
      </c>
      <c r="O15" s="30">
        <f t="shared" ref="O15" si="9">O17/O$8</f>
        <v>0</v>
      </c>
    </row>
    <row r="16" spans="1:19" s="38" customFormat="1" x14ac:dyDescent="0.2">
      <c r="A16" s="36" t="s">
        <v>267</v>
      </c>
      <c r="B16" s="37">
        <f ca="1">SUM(H20:N20)/SUM(H$8:N$8)</f>
        <v>0</v>
      </c>
      <c r="H16" s="39">
        <f ca="1">H20/H$8</f>
        <v>0</v>
      </c>
      <c r="I16" s="39">
        <f ca="1">I20/I$8</f>
        <v>0</v>
      </c>
      <c r="J16" s="39">
        <f ca="1">J20/J$8</f>
        <v>0</v>
      </c>
      <c r="K16" s="39">
        <f ca="1">K20/K$8</f>
        <v>0</v>
      </c>
      <c r="L16" s="39">
        <f t="shared" ref="L16:M16" ca="1" si="10">L20/L$8</f>
        <v>0</v>
      </c>
      <c r="M16" s="39">
        <f t="shared" ca="1" si="10"/>
        <v>0</v>
      </c>
      <c r="N16" s="39">
        <f t="shared" ref="N16:O16" ca="1" si="11">N20/N$8</f>
        <v>0</v>
      </c>
      <c r="O16" s="39">
        <f t="shared" ca="1" si="11"/>
        <v>0</v>
      </c>
    </row>
    <row r="17" spans="1:19" x14ac:dyDescent="0.2">
      <c r="A17" s="167" t="s">
        <v>268</v>
      </c>
      <c r="B17" s="15"/>
      <c r="C17" s="27">
        <f>C18+C19</f>
        <v>0</v>
      </c>
      <c r="D17" s="27">
        <f t="shared" ref="D17" si="12">D18+D19</f>
        <v>0</v>
      </c>
      <c r="E17" s="27">
        <f t="shared" ref="E17" si="13">E18+E19</f>
        <v>0</v>
      </c>
      <c r="F17" s="27">
        <f t="shared" ref="F17" si="14">F18+F19</f>
        <v>0</v>
      </c>
      <c r="G17" s="27">
        <f t="shared" ref="G17" si="15">G18+G19</f>
        <v>0</v>
      </c>
      <c r="H17" s="27">
        <f t="shared" ref="H17" si="16">H18+H19</f>
        <v>110</v>
      </c>
      <c r="I17" s="27">
        <f t="shared" ref="I17" si="17">I18+I19</f>
        <v>0</v>
      </c>
      <c r="J17" s="27">
        <f t="shared" ref="J17" si="18">J18+J19</f>
        <v>0</v>
      </c>
      <c r="K17" s="27">
        <f t="shared" ref="K17" si="19">K18+K19</f>
        <v>0</v>
      </c>
      <c r="L17" s="27">
        <f t="shared" ref="L17" si="20">L18+L19</f>
        <v>310</v>
      </c>
      <c r="M17" s="27">
        <f t="shared" ref="M17" si="21">M18+M19</f>
        <v>49</v>
      </c>
      <c r="N17" s="27">
        <f t="shared" ref="N17:O17" si="22">N18+N19</f>
        <v>56</v>
      </c>
      <c r="O17" s="27">
        <f t="shared" si="22"/>
        <v>0</v>
      </c>
    </row>
    <row r="18" spans="1:19" x14ac:dyDescent="0.2">
      <c r="A18" s="165" t="str">
        <f>'OLD-KPI'!A9</f>
        <v>V-Landing Taxes</v>
      </c>
      <c r="C18" s="27">
        <f t="shared" ref="C18:O19" si="23">SUMIFS(Montant,StatsYear,C$5,StatsType,$A18)</f>
        <v>0</v>
      </c>
      <c r="D18" s="27">
        <f t="shared" si="23"/>
        <v>0</v>
      </c>
      <c r="E18" s="27">
        <f t="shared" si="23"/>
        <v>0</v>
      </c>
      <c r="F18" s="27">
        <f t="shared" si="23"/>
        <v>0</v>
      </c>
      <c r="G18" s="27">
        <f t="shared" si="23"/>
        <v>0</v>
      </c>
      <c r="H18" s="27">
        <f t="shared" si="23"/>
        <v>110</v>
      </c>
      <c r="I18" s="27">
        <f t="shared" si="23"/>
        <v>0</v>
      </c>
      <c r="J18" s="27">
        <f t="shared" si="23"/>
        <v>0</v>
      </c>
      <c r="K18" s="27">
        <f t="shared" si="23"/>
        <v>0</v>
      </c>
      <c r="L18" s="27">
        <f t="shared" si="23"/>
        <v>310</v>
      </c>
      <c r="M18" s="27">
        <f t="shared" si="23"/>
        <v>49</v>
      </c>
      <c r="N18" s="27">
        <f t="shared" si="23"/>
        <v>56</v>
      </c>
      <c r="O18" s="27">
        <f t="shared" si="23"/>
        <v>0</v>
      </c>
    </row>
    <row r="19" spans="1:19" x14ac:dyDescent="0.2">
      <c r="A19" s="165" t="str">
        <f>'OLD-KPI'!A10</f>
        <v>V-AVGAS</v>
      </c>
      <c r="C19" s="27">
        <f t="shared" si="23"/>
        <v>0</v>
      </c>
      <c r="D19" s="27">
        <f t="shared" si="23"/>
        <v>0</v>
      </c>
      <c r="E19" s="27">
        <f t="shared" si="23"/>
        <v>0</v>
      </c>
      <c r="F19" s="27">
        <f t="shared" si="23"/>
        <v>0</v>
      </c>
      <c r="G19" s="27">
        <f t="shared" si="23"/>
        <v>0</v>
      </c>
      <c r="H19" s="27">
        <f t="shared" si="23"/>
        <v>0</v>
      </c>
      <c r="I19" s="27">
        <f t="shared" si="23"/>
        <v>0</v>
      </c>
      <c r="J19" s="27">
        <f t="shared" si="23"/>
        <v>0</v>
      </c>
      <c r="K19" s="27">
        <f t="shared" si="23"/>
        <v>0</v>
      </c>
      <c r="L19" s="27">
        <f t="shared" si="23"/>
        <v>0</v>
      </c>
      <c r="M19" s="27">
        <f t="shared" si="23"/>
        <v>0</v>
      </c>
      <c r="N19" s="27">
        <f t="shared" si="23"/>
        <v>0</v>
      </c>
      <c r="O19" s="27">
        <f t="shared" si="23"/>
        <v>0</v>
      </c>
    </row>
    <row r="20" spans="1:19" s="38" customFormat="1" x14ac:dyDescent="0.2">
      <c r="A20" s="168" t="s">
        <v>240</v>
      </c>
      <c r="B20" s="40"/>
      <c r="C20" s="41">
        <f t="shared" ref="C20:O20" ca="1" si="24">SUMIF(StatsYear,C$5,VFuelVol)</f>
        <v>0</v>
      </c>
      <c r="D20" s="41">
        <f t="shared" ca="1" si="24"/>
        <v>0</v>
      </c>
      <c r="E20" s="41">
        <f t="shared" ca="1" si="24"/>
        <v>0</v>
      </c>
      <c r="F20" s="41">
        <f t="shared" ca="1" si="24"/>
        <v>0</v>
      </c>
      <c r="G20" s="41">
        <f t="shared" ca="1" si="24"/>
        <v>0</v>
      </c>
      <c r="H20" s="41">
        <f t="shared" ca="1" si="24"/>
        <v>0</v>
      </c>
      <c r="I20" s="41">
        <f t="shared" ca="1" si="24"/>
        <v>0</v>
      </c>
      <c r="J20" s="41">
        <f t="shared" ca="1" si="24"/>
        <v>0</v>
      </c>
      <c r="K20" s="41">
        <f t="shared" ca="1" si="24"/>
        <v>0</v>
      </c>
      <c r="L20" s="41">
        <f t="shared" ca="1" si="24"/>
        <v>0</v>
      </c>
      <c r="M20" s="41">
        <f t="shared" ca="1" si="24"/>
        <v>0</v>
      </c>
      <c r="N20" s="41">
        <f t="shared" ca="1" si="24"/>
        <v>0</v>
      </c>
      <c r="O20" s="41">
        <f t="shared" ca="1" si="24"/>
        <v>0</v>
      </c>
    </row>
    <row r="21" spans="1:19" ht="19" x14ac:dyDescent="0.25">
      <c r="A21" s="28" t="s">
        <v>279</v>
      </c>
    </row>
    <row r="22" spans="1:19" x14ac:dyDescent="0.2">
      <c r="A22" s="19" t="s">
        <v>314</v>
      </c>
      <c r="B22" s="30">
        <f>AVERAGE(C25:M25)</f>
        <v>2583.4548727272722</v>
      </c>
    </row>
    <row r="23" spans="1:19" x14ac:dyDescent="0.2">
      <c r="A23" s="19" t="s">
        <v>315</v>
      </c>
      <c r="B23" s="31">
        <f>AVERAGE(C25:M25)/12</f>
        <v>215.28790606060602</v>
      </c>
    </row>
    <row r="24" spans="1:19" x14ac:dyDescent="0.2">
      <c r="A24" s="34" t="s">
        <v>316</v>
      </c>
      <c r="B24" s="35">
        <f>SUM(H25:O25)/SUM(H$8:N$8)</f>
        <v>6.5662177722152695</v>
      </c>
      <c r="M24" s="117">
        <f>(M25/12*7)/M8</f>
        <v>-11.921960784313727</v>
      </c>
      <c r="N24" s="117">
        <f>(N25)/N8</f>
        <v>7.9463111668757787</v>
      </c>
      <c r="O24" s="117">
        <f>(O25)/O8</f>
        <v>17.446795804195805</v>
      </c>
    </row>
    <row r="25" spans="1:19" x14ac:dyDescent="0.2">
      <c r="A25" s="169" t="s">
        <v>149</v>
      </c>
      <c r="B25" s="8"/>
      <c r="C25" s="25">
        <f t="shared" ref="C25:O25" si="25">SUM(C27:C34)</f>
        <v>5629.6939999999995</v>
      </c>
      <c r="D25" s="25">
        <f t="shared" si="25"/>
        <v>2326.4845000000014</v>
      </c>
      <c r="E25" s="25">
        <f t="shared" si="25"/>
        <v>8448.8150999999998</v>
      </c>
      <c r="F25" s="25">
        <f t="shared" si="25"/>
        <v>6080.6390000000001</v>
      </c>
      <c r="G25" s="25">
        <f t="shared" si="25"/>
        <v>4665.2931000000008</v>
      </c>
      <c r="H25" s="25">
        <f t="shared" si="25"/>
        <v>1479.9849999999999</v>
      </c>
      <c r="I25" s="25">
        <f t="shared" si="25"/>
        <v>159.12</v>
      </c>
      <c r="J25" s="25">
        <f t="shared" si="25"/>
        <v>540.83249999999998</v>
      </c>
      <c r="K25" s="25">
        <f t="shared" si="25"/>
        <v>172.97039999999998</v>
      </c>
      <c r="L25" s="25">
        <f t="shared" si="25"/>
        <v>651.37</v>
      </c>
      <c r="M25" s="25">
        <f t="shared" si="25"/>
        <v>-1737.2</v>
      </c>
      <c r="N25" s="25">
        <f t="shared" si="25"/>
        <v>633.32099999999991</v>
      </c>
      <c r="O25" s="25">
        <f t="shared" si="25"/>
        <v>1247.4459000000002</v>
      </c>
      <c r="Q25" t="s">
        <v>2</v>
      </c>
      <c r="R25" s="13">
        <f>B10</f>
        <v>1.612823320817689</v>
      </c>
      <c r="S25" s="116">
        <f>R25/(R25+R26)</f>
        <v>0.19718978086459527</v>
      </c>
    </row>
    <row r="26" spans="1:19" x14ac:dyDescent="0.2">
      <c r="A26" s="165" t="str">
        <f>'OLD-KPI'!A13</f>
        <v>F-Manpwr &amp; management (m-h)</v>
      </c>
      <c r="C26" s="158">
        <f t="shared" ref="C26:O26" si="26">SUMIFS(Man_hours,StatsYear,C$5,StatsType,$A26)</f>
        <v>46.5</v>
      </c>
      <c r="D26" s="158">
        <f t="shared" si="26"/>
        <v>70.75</v>
      </c>
      <c r="E26" s="158">
        <f t="shared" si="26"/>
        <v>138.5</v>
      </c>
      <c r="F26" s="158">
        <f t="shared" si="26"/>
        <v>25.75</v>
      </c>
      <c r="G26" s="158">
        <f t="shared" si="26"/>
        <v>55</v>
      </c>
      <c r="H26" s="158">
        <f t="shared" si="26"/>
        <v>0.25</v>
      </c>
      <c r="I26" s="158">
        <f t="shared" si="26"/>
        <v>0</v>
      </c>
      <c r="J26" s="158">
        <f t="shared" si="26"/>
        <v>0</v>
      </c>
      <c r="K26" s="158">
        <f t="shared" si="26"/>
        <v>0</v>
      </c>
      <c r="L26" s="158">
        <f t="shared" si="26"/>
        <v>13.5</v>
      </c>
      <c r="M26" s="158">
        <f t="shared" si="26"/>
        <v>0</v>
      </c>
      <c r="N26" s="158">
        <f t="shared" si="26"/>
        <v>1</v>
      </c>
      <c r="O26" s="158">
        <f t="shared" si="26"/>
        <v>0</v>
      </c>
      <c r="Q26" t="s">
        <v>151</v>
      </c>
      <c r="R26" s="13">
        <f>B24</f>
        <v>6.5662177722152695</v>
      </c>
      <c r="S26" s="116">
        <f>R26/(R25+R26)</f>
        <v>0.80281021913540462</v>
      </c>
    </row>
    <row r="27" spans="1:19" x14ac:dyDescent="0.2">
      <c r="A27" s="165" t="str">
        <f>'OLD-KPI'!A12</f>
        <v>F-Aircraft Insurance</v>
      </c>
      <c r="C27" s="47">
        <f t="shared" ref="C27:O34" si="27">SUMIFS(Montant,StatsYear,C$5,StatsType,$A27)</f>
        <v>0</v>
      </c>
      <c r="D27" s="47">
        <f t="shared" si="27"/>
        <v>0</v>
      </c>
      <c r="E27" s="47">
        <f t="shared" si="27"/>
        <v>0</v>
      </c>
      <c r="F27" s="47">
        <f t="shared" si="27"/>
        <v>2912</v>
      </c>
      <c r="G27" s="47">
        <f t="shared" si="27"/>
        <v>0</v>
      </c>
      <c r="H27" s="47">
        <f t="shared" si="27"/>
        <v>1456</v>
      </c>
      <c r="I27" s="47">
        <f t="shared" si="27"/>
        <v>0</v>
      </c>
      <c r="J27" s="47">
        <f t="shared" si="27"/>
        <v>0</v>
      </c>
      <c r="K27" s="47">
        <f t="shared" si="27"/>
        <v>-310.05</v>
      </c>
      <c r="L27" s="47">
        <f t="shared" si="27"/>
        <v>0</v>
      </c>
      <c r="M27" s="47">
        <f t="shared" si="27"/>
        <v>0</v>
      </c>
      <c r="N27" s="47">
        <f t="shared" si="27"/>
        <v>0</v>
      </c>
      <c r="O27" s="47">
        <f t="shared" si="27"/>
        <v>0</v>
      </c>
    </row>
    <row r="28" spans="1:19" x14ac:dyDescent="0.2">
      <c r="A28" s="165" t="str">
        <f>'OLD-KPI'!A14</f>
        <v>F-Annual visit</v>
      </c>
      <c r="C28" s="47">
        <f t="shared" si="27"/>
        <v>1837.3665000000001</v>
      </c>
      <c r="D28" s="47">
        <f t="shared" si="27"/>
        <v>1674.4</v>
      </c>
      <c r="E28" s="47">
        <f t="shared" si="27"/>
        <v>1768.7</v>
      </c>
      <c r="F28" s="47">
        <f t="shared" si="27"/>
        <v>2025.0945000000002</v>
      </c>
      <c r="G28" s="47">
        <f t="shared" si="27"/>
        <v>3289.5603000000001</v>
      </c>
      <c r="H28" s="47">
        <f t="shared" si="27"/>
        <v>0</v>
      </c>
      <c r="I28" s="47">
        <f t="shared" si="27"/>
        <v>0</v>
      </c>
      <c r="J28" s="47">
        <f t="shared" si="27"/>
        <v>0</v>
      </c>
      <c r="K28" s="47">
        <f t="shared" si="27"/>
        <v>15.350399999999999</v>
      </c>
      <c r="L28" s="47">
        <f t="shared" si="27"/>
        <v>0</v>
      </c>
      <c r="M28" s="47">
        <f t="shared" si="27"/>
        <v>0</v>
      </c>
      <c r="N28" s="47">
        <f t="shared" si="27"/>
        <v>0</v>
      </c>
      <c r="O28" s="47">
        <f t="shared" si="27"/>
        <v>153.58590000000001</v>
      </c>
    </row>
    <row r="29" spans="1:19" x14ac:dyDescent="0.2">
      <c r="A29" s="165" t="str">
        <f>'OLD-KPI'!A15</f>
        <v>F-Avionics</v>
      </c>
      <c r="C29" s="47">
        <f t="shared" si="27"/>
        <v>0</v>
      </c>
      <c r="D29" s="47">
        <f t="shared" si="27"/>
        <v>0</v>
      </c>
      <c r="E29" s="47">
        <f t="shared" si="27"/>
        <v>2403.2267999999999</v>
      </c>
      <c r="F29" s="47">
        <f t="shared" si="27"/>
        <v>0</v>
      </c>
      <c r="G29" s="47">
        <f t="shared" si="27"/>
        <v>611.03250000000003</v>
      </c>
      <c r="H29" s="47">
        <f t="shared" si="27"/>
        <v>23.984999999999999</v>
      </c>
      <c r="I29" s="47">
        <f t="shared" si="27"/>
        <v>0</v>
      </c>
      <c r="J29" s="47">
        <f t="shared" si="27"/>
        <v>0</v>
      </c>
      <c r="K29" s="47">
        <f t="shared" si="27"/>
        <v>467.67</v>
      </c>
      <c r="L29" s="47">
        <f t="shared" si="27"/>
        <v>0</v>
      </c>
      <c r="M29" s="47">
        <f t="shared" si="27"/>
        <v>0</v>
      </c>
      <c r="N29" s="47">
        <f t="shared" si="27"/>
        <v>362.17349999999999</v>
      </c>
      <c r="O29" s="47">
        <f t="shared" si="27"/>
        <v>0</v>
      </c>
    </row>
    <row r="30" spans="1:19" x14ac:dyDescent="0.2">
      <c r="A30" s="165" t="str">
        <f>'OLD-KPI'!A16</f>
        <v>F-Hangar &amp; insurance.</v>
      </c>
      <c r="C30" s="47">
        <f t="shared" si="27"/>
        <v>0</v>
      </c>
      <c r="D30" s="160">
        <f t="shared" si="27"/>
        <v>-4140</v>
      </c>
      <c r="E30" s="160">
        <f t="shared" si="27"/>
        <v>-1800</v>
      </c>
      <c r="F30" s="160">
        <f t="shared" si="27"/>
        <v>-1800</v>
      </c>
      <c r="G30" s="160">
        <f t="shared" si="27"/>
        <v>-2106</v>
      </c>
      <c r="H30" s="160">
        <f t="shared" si="27"/>
        <v>0</v>
      </c>
      <c r="I30" s="160">
        <f t="shared" si="27"/>
        <v>0</v>
      </c>
      <c r="J30" s="47">
        <f t="shared" si="27"/>
        <v>0</v>
      </c>
      <c r="K30" s="47">
        <f t="shared" si="27"/>
        <v>0</v>
      </c>
      <c r="L30" s="47">
        <f t="shared" si="27"/>
        <v>651.37</v>
      </c>
      <c r="M30" s="47">
        <f t="shared" si="27"/>
        <v>-1737.2</v>
      </c>
      <c r="N30" s="47">
        <f t="shared" si="27"/>
        <v>0</v>
      </c>
      <c r="O30" s="47">
        <f t="shared" si="27"/>
        <v>1093.8600000000001</v>
      </c>
    </row>
    <row r="31" spans="1:19" x14ac:dyDescent="0.2">
      <c r="A31" s="165" t="str">
        <f>'OLD-KPI'!A17</f>
        <v>F-ARC &amp; CDN &amp; ILR</v>
      </c>
      <c r="C31" s="47">
        <f t="shared" si="27"/>
        <v>2038.681</v>
      </c>
      <c r="D31" s="47">
        <f t="shared" si="27"/>
        <v>0</v>
      </c>
      <c r="E31" s="47">
        <f t="shared" si="27"/>
        <v>3494.7499000000003</v>
      </c>
      <c r="F31" s="47">
        <f t="shared" si="27"/>
        <v>2025.0945000000002</v>
      </c>
      <c r="G31" s="47">
        <f t="shared" si="27"/>
        <v>1620.0522000000001</v>
      </c>
      <c r="H31" s="47">
        <f t="shared" si="27"/>
        <v>0</v>
      </c>
      <c r="I31" s="47">
        <f t="shared" si="27"/>
        <v>0</v>
      </c>
      <c r="J31" s="47">
        <f t="shared" si="27"/>
        <v>0</v>
      </c>
      <c r="K31" s="47">
        <f t="shared" si="27"/>
        <v>0</v>
      </c>
      <c r="L31" s="47">
        <f t="shared" si="27"/>
        <v>0</v>
      </c>
      <c r="M31" s="47">
        <f t="shared" si="27"/>
        <v>0</v>
      </c>
      <c r="N31" s="47">
        <f t="shared" si="27"/>
        <v>0</v>
      </c>
      <c r="O31" s="47">
        <f t="shared" si="27"/>
        <v>0</v>
      </c>
    </row>
    <row r="32" spans="1:19" x14ac:dyDescent="0.2">
      <c r="A32" s="165" t="str">
        <f>'OLD-KPI'!A18</f>
        <v>F-Time limit-misc. structure</v>
      </c>
      <c r="C32" s="47">
        <f t="shared" si="27"/>
        <v>1736.799</v>
      </c>
      <c r="D32" s="47">
        <f t="shared" si="27"/>
        <v>3951.4345000000012</v>
      </c>
      <c r="E32" s="47">
        <f t="shared" si="27"/>
        <v>2582.1384000000003</v>
      </c>
      <c r="F32" s="47">
        <f t="shared" si="27"/>
        <v>918.45</v>
      </c>
      <c r="G32" s="47">
        <f t="shared" si="27"/>
        <v>1232.5716</v>
      </c>
      <c r="H32" s="47">
        <f t="shared" si="27"/>
        <v>0</v>
      </c>
      <c r="I32" s="47">
        <f t="shared" si="27"/>
        <v>159.12</v>
      </c>
      <c r="J32" s="47">
        <f t="shared" si="27"/>
        <v>0</v>
      </c>
      <c r="K32" s="47">
        <f t="shared" si="27"/>
        <v>0</v>
      </c>
      <c r="L32" s="47">
        <f t="shared" si="27"/>
        <v>0</v>
      </c>
      <c r="M32" s="47">
        <f t="shared" si="27"/>
        <v>0</v>
      </c>
      <c r="N32" s="47">
        <f t="shared" si="27"/>
        <v>271.14749999999998</v>
      </c>
      <c r="O32" s="47">
        <f t="shared" si="27"/>
        <v>0</v>
      </c>
    </row>
    <row r="33" spans="1:20" x14ac:dyDescent="0.2">
      <c r="A33" s="165" t="str">
        <f>'OLD-KPI'!A19</f>
        <v>F-Airworthiness dir.</v>
      </c>
      <c r="C33" s="47">
        <f t="shared" si="27"/>
        <v>0</v>
      </c>
      <c r="D33" s="47">
        <f t="shared" si="27"/>
        <v>0</v>
      </c>
      <c r="E33" s="47">
        <f t="shared" si="27"/>
        <v>0</v>
      </c>
      <c r="F33" s="47">
        <f t="shared" si="27"/>
        <v>0</v>
      </c>
      <c r="G33" s="47">
        <f t="shared" si="27"/>
        <v>0</v>
      </c>
      <c r="H33" s="47">
        <f t="shared" si="27"/>
        <v>0</v>
      </c>
      <c r="I33" s="47">
        <f t="shared" si="27"/>
        <v>0</v>
      </c>
      <c r="J33" s="47">
        <f t="shared" si="27"/>
        <v>330.23250000000002</v>
      </c>
      <c r="K33" s="47">
        <f t="shared" si="27"/>
        <v>0</v>
      </c>
      <c r="L33" s="47">
        <f t="shared" si="27"/>
        <v>0</v>
      </c>
      <c r="M33" s="47">
        <f t="shared" si="27"/>
        <v>0</v>
      </c>
      <c r="N33" s="47">
        <f t="shared" si="27"/>
        <v>0</v>
      </c>
      <c r="O33" s="47">
        <f t="shared" si="27"/>
        <v>0</v>
      </c>
    </row>
    <row r="34" spans="1:20" x14ac:dyDescent="0.2">
      <c r="A34" s="168" t="str">
        <f>'OLD-KPI'!A20</f>
        <v>F-Refill.</v>
      </c>
      <c r="B34" s="15"/>
      <c r="C34" s="27">
        <f t="shared" si="27"/>
        <v>16.8475</v>
      </c>
      <c r="D34" s="27">
        <f t="shared" si="27"/>
        <v>840.65</v>
      </c>
      <c r="E34" s="27">
        <f t="shared" si="27"/>
        <v>0</v>
      </c>
      <c r="F34" s="27">
        <f t="shared" si="27"/>
        <v>0</v>
      </c>
      <c r="G34" s="27">
        <f t="shared" si="27"/>
        <v>18.076499999999999</v>
      </c>
      <c r="H34" s="27">
        <f t="shared" si="27"/>
        <v>0</v>
      </c>
      <c r="I34" s="27">
        <f t="shared" si="27"/>
        <v>0</v>
      </c>
      <c r="J34" s="27">
        <f t="shared" si="27"/>
        <v>210.6</v>
      </c>
      <c r="K34" s="27">
        <f t="shared" si="27"/>
        <v>0</v>
      </c>
      <c r="L34" s="27">
        <f t="shared" si="27"/>
        <v>0</v>
      </c>
      <c r="M34" s="27">
        <f t="shared" si="27"/>
        <v>0</v>
      </c>
      <c r="N34" s="27">
        <f t="shared" si="27"/>
        <v>0</v>
      </c>
      <c r="O34" s="27">
        <f t="shared" si="27"/>
        <v>0</v>
      </c>
    </row>
    <row r="35" spans="1:20" x14ac:dyDescent="0.2">
      <c r="A35" s="24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</row>
    <row r="36" spans="1:20" ht="19" x14ac:dyDescent="0.25">
      <c r="A36" s="115" t="s">
        <v>317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20" x14ac:dyDescent="0.2">
      <c r="A37" s="34" t="s">
        <v>318</v>
      </c>
      <c r="B37" s="35">
        <f>SUM(H38:N38)/SUM(H$8:N$8)</f>
        <v>87.973116631900979</v>
      </c>
    </row>
    <row r="38" spans="1:20" x14ac:dyDescent="0.2">
      <c r="A38" s="19" t="s">
        <v>319</v>
      </c>
      <c r="B38" s="8"/>
      <c r="C38" s="32">
        <f t="shared" ref="C38:O38" si="28">C40+C42+SUM(C44:C46)+C53+SUM(C55:C57)+SUM(C48:C50)</f>
        <v>0</v>
      </c>
      <c r="D38" s="32">
        <f t="shared" si="28"/>
        <v>1148.9937499999999</v>
      </c>
      <c r="E38" s="32">
        <f t="shared" si="28"/>
        <v>5331.5560233333335</v>
      </c>
      <c r="F38" s="32">
        <f t="shared" si="28"/>
        <v>5721.0665733333335</v>
      </c>
      <c r="G38" s="32">
        <f t="shared" si="28"/>
        <v>7492.2008733333332</v>
      </c>
      <c r="H38" s="32">
        <f t="shared" si="28"/>
        <v>7492.2008733333332</v>
      </c>
      <c r="I38" s="32">
        <f t="shared" si="28"/>
        <v>7492.2008733333332</v>
      </c>
      <c r="J38" s="32">
        <f t="shared" si="28"/>
        <v>6343.2071233333336</v>
      </c>
      <c r="K38" s="32">
        <f t="shared" si="28"/>
        <v>6343.2071233333336</v>
      </c>
      <c r="L38" s="32">
        <f t="shared" si="28"/>
        <v>5953.6965733333336</v>
      </c>
      <c r="M38" s="32">
        <f t="shared" si="28"/>
        <v>4204.6022733333339</v>
      </c>
      <c r="N38" s="32">
        <f t="shared" si="28"/>
        <v>4345.1972733333341</v>
      </c>
      <c r="O38" s="32">
        <f t="shared" si="28"/>
        <v>4369.7984733333342</v>
      </c>
    </row>
    <row r="39" spans="1:20" x14ac:dyDescent="0.2">
      <c r="A39" s="165" t="str">
        <f>'OLD-KPI'!A22</f>
        <v>Bottle O2 change</v>
      </c>
      <c r="C39" s="47">
        <f>SUMIFS(Montant,StatsYear,C$5,StatsType,$A39)</f>
        <v>0</v>
      </c>
      <c r="D39" s="47">
        <f t="shared" ref="D39:O39" si="29">SUMIFS(Montant,StatsYear,D$5,StatsType,$A39)</f>
        <v>0</v>
      </c>
      <c r="E39" s="47">
        <f t="shared" si="29"/>
        <v>0</v>
      </c>
      <c r="F39" s="47">
        <f t="shared" si="29"/>
        <v>0</v>
      </c>
      <c r="G39" s="47">
        <f t="shared" si="29"/>
        <v>0</v>
      </c>
      <c r="H39" s="47">
        <f t="shared" si="29"/>
        <v>0</v>
      </c>
      <c r="I39" s="47">
        <f t="shared" si="29"/>
        <v>0</v>
      </c>
      <c r="J39" s="47">
        <f t="shared" si="29"/>
        <v>0</v>
      </c>
      <c r="K39" s="47">
        <f t="shared" si="29"/>
        <v>0</v>
      </c>
      <c r="L39" s="47">
        <f t="shared" si="29"/>
        <v>0</v>
      </c>
      <c r="M39" s="48">
        <f t="shared" si="29"/>
        <v>330.6</v>
      </c>
      <c r="N39" s="47">
        <f t="shared" si="29"/>
        <v>0</v>
      </c>
      <c r="O39" s="47">
        <f t="shared" si="29"/>
        <v>0</v>
      </c>
    </row>
    <row r="40" spans="1:20" x14ac:dyDescent="0.2">
      <c r="A40" s="49" t="s">
        <v>320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>
        <f>$M$39/15</f>
        <v>22.040000000000003</v>
      </c>
      <c r="N40" s="47">
        <f>$M$39/15</f>
        <v>22.040000000000003</v>
      </c>
      <c r="O40" s="47">
        <f>$M$39/15</f>
        <v>22.040000000000003</v>
      </c>
      <c r="P40" s="47">
        <f t="shared" ref="P40:T40" si="30">$M$39/15</f>
        <v>22.040000000000003</v>
      </c>
      <c r="Q40" s="47">
        <f t="shared" si="30"/>
        <v>22.040000000000003</v>
      </c>
      <c r="R40" s="47">
        <f t="shared" si="30"/>
        <v>22.040000000000003</v>
      </c>
      <c r="S40" s="47">
        <f t="shared" si="30"/>
        <v>22.040000000000003</v>
      </c>
      <c r="T40" s="47">
        <f t="shared" si="30"/>
        <v>22.040000000000003</v>
      </c>
    </row>
    <row r="41" spans="1:20" x14ac:dyDescent="0.2">
      <c r="A41" s="165" t="str">
        <f>'OLD-KPI'!A23</f>
        <v>Change OVH engine</v>
      </c>
      <c r="C41" s="47">
        <f t="shared" ref="C41:O41" si="31">SUMIFS(Montant,StatsYear,C$5,StatsType,$A41)</f>
        <v>0</v>
      </c>
      <c r="D41" s="47">
        <f t="shared" si="31"/>
        <v>0</v>
      </c>
      <c r="E41" s="48">
        <f t="shared" si="31"/>
        <v>62738.434100000006</v>
      </c>
      <c r="F41" s="47">
        <f t="shared" si="31"/>
        <v>0</v>
      </c>
      <c r="G41" s="47">
        <f t="shared" si="31"/>
        <v>0</v>
      </c>
      <c r="H41" s="47">
        <f t="shared" si="31"/>
        <v>0</v>
      </c>
      <c r="I41" s="47">
        <f t="shared" si="31"/>
        <v>0</v>
      </c>
      <c r="J41" s="47">
        <f t="shared" si="31"/>
        <v>0</v>
      </c>
      <c r="K41" s="47">
        <f t="shared" si="31"/>
        <v>0</v>
      </c>
      <c r="L41" s="47">
        <f t="shared" si="31"/>
        <v>0</v>
      </c>
      <c r="M41" s="47">
        <f t="shared" si="31"/>
        <v>0</v>
      </c>
      <c r="N41" s="47">
        <f t="shared" si="31"/>
        <v>0</v>
      </c>
      <c r="O41" s="47">
        <f t="shared" si="31"/>
        <v>0</v>
      </c>
    </row>
    <row r="42" spans="1:20" x14ac:dyDescent="0.2">
      <c r="A42" s="49" t="s">
        <v>321</v>
      </c>
      <c r="C42" s="47"/>
      <c r="D42" s="47"/>
      <c r="E42" s="47">
        <f>$E$41/15</f>
        <v>4182.5622733333339</v>
      </c>
      <c r="F42" s="47">
        <f t="shared" ref="F42:P42" si="32">$E$41/15</f>
        <v>4182.5622733333339</v>
      </c>
      <c r="G42" s="47">
        <f t="shared" si="32"/>
        <v>4182.5622733333339</v>
      </c>
      <c r="H42" s="47">
        <f t="shared" si="32"/>
        <v>4182.5622733333339</v>
      </c>
      <c r="I42" s="47">
        <f t="shared" si="32"/>
        <v>4182.5622733333339</v>
      </c>
      <c r="J42" s="47">
        <f t="shared" si="32"/>
        <v>4182.5622733333339</v>
      </c>
      <c r="K42" s="47">
        <f t="shared" si="32"/>
        <v>4182.5622733333339</v>
      </c>
      <c r="L42" s="47">
        <f t="shared" si="32"/>
        <v>4182.5622733333339</v>
      </c>
      <c r="M42" s="47">
        <f t="shared" si="32"/>
        <v>4182.5622733333339</v>
      </c>
      <c r="N42" s="47">
        <f t="shared" si="32"/>
        <v>4182.5622733333339</v>
      </c>
      <c r="O42" s="47">
        <f t="shared" si="32"/>
        <v>4182.5622733333339</v>
      </c>
      <c r="P42" s="47">
        <f t="shared" si="32"/>
        <v>4182.5622733333339</v>
      </c>
      <c r="Q42" s="47"/>
    </row>
    <row r="43" spans="1:20" x14ac:dyDescent="0.2">
      <c r="A43" s="165" t="str">
        <f>'OLD-KPI'!A24</f>
        <v>OVH propeller regulator</v>
      </c>
      <c r="C43" s="47">
        <f t="shared" ref="C43:O43" si="33">SUMIFS(Montant,StatsYear,C$5,StatsType,$A43)</f>
        <v>0</v>
      </c>
      <c r="D43" s="47">
        <f t="shared" si="33"/>
        <v>0</v>
      </c>
      <c r="E43" s="47">
        <f t="shared" si="33"/>
        <v>0</v>
      </c>
      <c r="F43" s="48">
        <f t="shared" si="33"/>
        <v>2337.0633000000003</v>
      </c>
      <c r="G43" s="47">
        <f t="shared" si="33"/>
        <v>0</v>
      </c>
      <c r="H43" s="47">
        <f t="shared" si="33"/>
        <v>0</v>
      </c>
      <c r="I43" s="47">
        <f t="shared" si="33"/>
        <v>0</v>
      </c>
      <c r="J43" s="142">
        <f t="shared" si="33"/>
        <v>0</v>
      </c>
      <c r="K43" s="48">
        <f t="shared" si="33"/>
        <v>0</v>
      </c>
      <c r="L43" s="47">
        <f t="shared" si="33"/>
        <v>0</v>
      </c>
      <c r="M43" s="47">
        <f t="shared" si="33"/>
        <v>0</v>
      </c>
      <c r="N43" s="47">
        <f t="shared" si="33"/>
        <v>0</v>
      </c>
      <c r="O43" s="48">
        <f t="shared" si="33"/>
        <v>147.60720000000001</v>
      </c>
    </row>
    <row r="44" spans="1:20" x14ac:dyDescent="0.2">
      <c r="A44" s="49" t="s">
        <v>322</v>
      </c>
      <c r="C44" s="47"/>
      <c r="D44" s="47"/>
      <c r="E44" s="47"/>
      <c r="F44" s="47">
        <f t="shared" ref="F44:K44" si="34">$F$43/6</f>
        <v>389.51055000000002</v>
      </c>
      <c r="G44" s="47">
        <f t="shared" si="34"/>
        <v>389.51055000000002</v>
      </c>
      <c r="H44" s="47">
        <f t="shared" si="34"/>
        <v>389.51055000000002</v>
      </c>
      <c r="I44" s="47">
        <f t="shared" si="34"/>
        <v>389.51055000000002</v>
      </c>
      <c r="J44" s="47">
        <f t="shared" si="34"/>
        <v>389.51055000000002</v>
      </c>
      <c r="K44" s="47">
        <f t="shared" si="34"/>
        <v>389.51055000000002</v>
      </c>
      <c r="L44" s="47"/>
      <c r="M44" s="47"/>
      <c r="N44" s="47"/>
      <c r="O44" s="47"/>
    </row>
    <row r="45" spans="1:20" x14ac:dyDescent="0.2">
      <c r="A45" s="49" t="s">
        <v>322</v>
      </c>
      <c r="C45" s="47"/>
      <c r="D45" s="47"/>
      <c r="E45" s="47"/>
      <c r="F45" s="47"/>
      <c r="G45" s="47"/>
      <c r="H45" s="47"/>
      <c r="I45" s="47"/>
      <c r="J45" s="47"/>
      <c r="K45" s="47">
        <f t="shared" ref="K45:P45" si="35">$K$43/6</f>
        <v>0</v>
      </c>
      <c r="L45" s="47">
        <f t="shared" si="35"/>
        <v>0</v>
      </c>
      <c r="M45" s="47">
        <f t="shared" si="35"/>
        <v>0</v>
      </c>
      <c r="N45" s="47">
        <f t="shared" si="35"/>
        <v>0</v>
      </c>
      <c r="O45" s="47">
        <f>$K$43/6</f>
        <v>0</v>
      </c>
      <c r="P45" s="47">
        <f t="shared" si="35"/>
        <v>0</v>
      </c>
      <c r="Q45" s="47"/>
    </row>
    <row r="46" spans="1:20" x14ac:dyDescent="0.2">
      <c r="A46" s="49" t="s">
        <v>322</v>
      </c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>
        <f>$O$43/6</f>
        <v>24.601200000000002</v>
      </c>
      <c r="P46" s="47">
        <f t="shared" ref="P46:S46" si="36">$O$43/6</f>
        <v>24.601200000000002</v>
      </c>
      <c r="Q46" s="47">
        <f t="shared" si="36"/>
        <v>24.601200000000002</v>
      </c>
      <c r="R46" s="47">
        <f t="shared" si="36"/>
        <v>24.601200000000002</v>
      </c>
      <c r="S46" s="47">
        <f t="shared" si="36"/>
        <v>24.601200000000002</v>
      </c>
      <c r="T46" s="47"/>
    </row>
    <row r="47" spans="1:20" x14ac:dyDescent="0.2">
      <c r="A47" s="165" t="str">
        <f>'OLD-KPI'!A25</f>
        <v>Change hub, OVH propeller</v>
      </c>
      <c r="C47" s="47">
        <f t="shared" ref="C47:N47" si="37">SUMIFS(Montant,StatsYear,C$5,StatsType,$A47)</f>
        <v>0</v>
      </c>
      <c r="D47" s="48">
        <f t="shared" si="37"/>
        <v>6893.9624999999996</v>
      </c>
      <c r="E47" s="142">
        <f t="shared" si="37"/>
        <v>0</v>
      </c>
      <c r="F47" s="47">
        <f t="shared" si="37"/>
        <v>0</v>
      </c>
      <c r="G47" s="47">
        <f t="shared" si="37"/>
        <v>0</v>
      </c>
      <c r="H47" s="47">
        <f t="shared" si="37"/>
        <v>0</v>
      </c>
      <c r="I47" s="47">
        <f t="shared" si="37"/>
        <v>0</v>
      </c>
      <c r="J47" s="48">
        <f t="shared" si="37"/>
        <v>0</v>
      </c>
      <c r="K47" s="47">
        <f t="shared" si="37"/>
        <v>0</v>
      </c>
      <c r="L47" s="47">
        <f t="shared" si="37"/>
        <v>0</v>
      </c>
      <c r="M47" s="47">
        <f t="shared" si="37"/>
        <v>0</v>
      </c>
      <c r="N47" s="47">
        <f t="shared" si="37"/>
        <v>0</v>
      </c>
      <c r="O47" s="48">
        <f>SUMIFS(Montant,StatsYear,O$5,StatsType,$A47)/2</f>
        <v>0</v>
      </c>
    </row>
    <row r="48" spans="1:20" x14ac:dyDescent="0.2">
      <c r="A48" s="49" t="s">
        <v>323</v>
      </c>
      <c r="C48" s="47"/>
      <c r="D48" s="47">
        <f t="shared" ref="D48:I48" si="38">$D$47/6</f>
        <v>1148.9937499999999</v>
      </c>
      <c r="E48" s="47">
        <f t="shared" si="38"/>
        <v>1148.9937499999999</v>
      </c>
      <c r="F48" s="47">
        <f t="shared" si="38"/>
        <v>1148.9937499999999</v>
      </c>
      <c r="G48" s="47">
        <f t="shared" si="38"/>
        <v>1148.9937499999999</v>
      </c>
      <c r="H48" s="47">
        <f t="shared" si="38"/>
        <v>1148.9937499999999</v>
      </c>
      <c r="I48" s="47">
        <f t="shared" si="38"/>
        <v>1148.9937499999999</v>
      </c>
      <c r="J48" s="47"/>
      <c r="K48" s="47"/>
      <c r="L48" s="47"/>
      <c r="M48" s="47"/>
      <c r="N48" s="47"/>
      <c r="O48" s="47"/>
    </row>
    <row r="49" spans="1:20" x14ac:dyDescent="0.2">
      <c r="A49" s="49" t="s">
        <v>323</v>
      </c>
      <c r="C49" s="47"/>
      <c r="D49" s="47"/>
      <c r="E49" s="47"/>
      <c r="F49" s="47"/>
      <c r="G49" s="47"/>
      <c r="H49" s="47"/>
      <c r="I49" s="47"/>
      <c r="J49" s="47">
        <f t="shared" ref="J49:O49" si="39">$J$47/6</f>
        <v>0</v>
      </c>
      <c r="K49" s="47">
        <f t="shared" si="39"/>
        <v>0</v>
      </c>
      <c r="L49" s="47">
        <f t="shared" si="39"/>
        <v>0</v>
      </c>
      <c r="M49" s="47">
        <f t="shared" si="39"/>
        <v>0</v>
      </c>
      <c r="N49" s="47">
        <f t="shared" si="39"/>
        <v>0</v>
      </c>
      <c r="O49" s="47">
        <f t="shared" si="39"/>
        <v>0</v>
      </c>
      <c r="P49" s="47"/>
    </row>
    <row r="50" spans="1:20" x14ac:dyDescent="0.2">
      <c r="A50" s="49" t="s">
        <v>323</v>
      </c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>
        <f t="shared" ref="O50:T50" si="40">$O$47/6</f>
        <v>0</v>
      </c>
      <c r="P50" s="47">
        <f t="shared" si="40"/>
        <v>0</v>
      </c>
      <c r="Q50" s="47">
        <f t="shared" si="40"/>
        <v>0</v>
      </c>
      <c r="R50" s="47">
        <f t="shared" si="40"/>
        <v>0</v>
      </c>
      <c r="S50" s="47">
        <f t="shared" si="40"/>
        <v>0</v>
      </c>
      <c r="T50" s="47">
        <f t="shared" si="40"/>
        <v>0</v>
      </c>
    </row>
    <row r="51" spans="1:20" x14ac:dyDescent="0.2">
      <c r="A51" s="165" t="str">
        <f>'OLD-KPI'!A26</f>
        <v>OVH conduits</v>
      </c>
      <c r="C51" s="47">
        <f t="shared" ref="C51:O51" si="41">SUMIFS(Montant,StatsYear,C$5,StatsType,$A51)</f>
        <v>0</v>
      </c>
      <c r="D51" s="47">
        <f t="shared" si="41"/>
        <v>0</v>
      </c>
      <c r="E51" s="47">
        <f t="shared" si="41"/>
        <v>0</v>
      </c>
      <c r="F51" s="47">
        <f t="shared" si="41"/>
        <v>0</v>
      </c>
      <c r="G51" s="48">
        <f t="shared" si="41"/>
        <v>5919.5916000000007</v>
      </c>
      <c r="H51" s="47">
        <f t="shared" si="41"/>
        <v>0</v>
      </c>
      <c r="I51" s="47">
        <f t="shared" si="41"/>
        <v>0</v>
      </c>
      <c r="J51" s="47">
        <f t="shared" si="41"/>
        <v>0</v>
      </c>
      <c r="K51" s="47">
        <f t="shared" si="41"/>
        <v>0</v>
      </c>
      <c r="L51" s="47">
        <f t="shared" si="41"/>
        <v>0</v>
      </c>
      <c r="M51" s="47">
        <f t="shared" si="41"/>
        <v>0</v>
      </c>
      <c r="N51" s="48">
        <f t="shared" si="41"/>
        <v>843.57</v>
      </c>
      <c r="O51" s="142">
        <f t="shared" si="41"/>
        <v>0</v>
      </c>
    </row>
    <row r="52" spans="1:20" x14ac:dyDescent="0.2">
      <c r="A52" s="49" t="s">
        <v>323</v>
      </c>
      <c r="C52" s="47"/>
      <c r="D52" s="47"/>
      <c r="E52" s="47"/>
      <c r="F52" s="47"/>
      <c r="G52" s="47">
        <f>$G$51/6</f>
        <v>986.59860000000015</v>
      </c>
      <c r="H52" s="47">
        <f t="shared" ref="H52:K52" si="42">$G$51/6</f>
        <v>986.59860000000015</v>
      </c>
      <c r="I52" s="47">
        <f t="shared" si="42"/>
        <v>986.59860000000015</v>
      </c>
      <c r="J52" s="47">
        <f t="shared" si="42"/>
        <v>986.59860000000015</v>
      </c>
      <c r="K52" s="47">
        <f t="shared" si="42"/>
        <v>986.59860000000015</v>
      </c>
      <c r="L52" s="47">
        <f>$G$51/6</f>
        <v>986.59860000000015</v>
      </c>
      <c r="M52" s="47"/>
      <c r="N52" s="47"/>
      <c r="O52" s="47"/>
      <c r="P52" s="47"/>
      <c r="Q52" s="47"/>
      <c r="R52" s="47"/>
      <c r="S52" s="47"/>
      <c r="T52" s="47"/>
    </row>
    <row r="53" spans="1:20" x14ac:dyDescent="0.2">
      <c r="A53" s="49" t="s">
        <v>323</v>
      </c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>
        <f>$N$51/6</f>
        <v>140.595</v>
      </c>
      <c r="O53" s="47">
        <f>$N$51/6</f>
        <v>140.595</v>
      </c>
      <c r="P53" s="47">
        <f t="shared" ref="P53:S53" si="43">$N$51/6</f>
        <v>140.595</v>
      </c>
      <c r="Q53" s="47">
        <f t="shared" si="43"/>
        <v>140.595</v>
      </c>
      <c r="R53" s="47">
        <f t="shared" si="43"/>
        <v>140.595</v>
      </c>
      <c r="S53" s="47">
        <f t="shared" si="43"/>
        <v>140.595</v>
      </c>
      <c r="T53" s="47"/>
    </row>
    <row r="54" spans="1:20" x14ac:dyDescent="0.2">
      <c r="A54" s="165" t="str">
        <f>'OLD-KPI'!A27</f>
        <v>GTN 650</v>
      </c>
      <c r="C54" s="47">
        <f t="shared" ref="C54:O54" si="44">SUMIFS(Montant,StatsYear,C$5,StatsType,$A54)</f>
        <v>0</v>
      </c>
      <c r="D54" s="47">
        <f t="shared" si="44"/>
        <v>0</v>
      </c>
      <c r="E54" s="47">
        <f t="shared" si="44"/>
        <v>0</v>
      </c>
      <c r="F54" s="47">
        <f t="shared" si="44"/>
        <v>0</v>
      </c>
      <c r="G54" s="48">
        <f t="shared" si="44"/>
        <v>10626.8058</v>
      </c>
      <c r="H54" s="48">
        <f t="shared" si="44"/>
        <v>0</v>
      </c>
      <c r="I54" s="47">
        <f t="shared" si="44"/>
        <v>0</v>
      </c>
      <c r="J54" s="47">
        <f t="shared" si="44"/>
        <v>0</v>
      </c>
      <c r="K54" s="47">
        <f t="shared" si="44"/>
        <v>0</v>
      </c>
      <c r="L54" s="48">
        <f t="shared" si="44"/>
        <v>142.80000000000001</v>
      </c>
      <c r="M54" s="47">
        <f t="shared" si="44"/>
        <v>0</v>
      </c>
      <c r="N54" s="47">
        <f t="shared" si="44"/>
        <v>0</v>
      </c>
      <c r="O54" s="47">
        <f t="shared" si="44"/>
        <v>0</v>
      </c>
    </row>
    <row r="55" spans="1:20" x14ac:dyDescent="0.2">
      <c r="A55" s="49" t="s">
        <v>323</v>
      </c>
      <c r="C55" s="47"/>
      <c r="D55" s="47"/>
      <c r="E55" s="47"/>
      <c r="F55" s="47"/>
      <c r="G55" s="47">
        <f t="shared" ref="G55:L55" si="45">$G$54/6</f>
        <v>1771.1342999999999</v>
      </c>
      <c r="H55" s="47">
        <f t="shared" si="45"/>
        <v>1771.1342999999999</v>
      </c>
      <c r="I55" s="47">
        <f t="shared" si="45"/>
        <v>1771.1342999999999</v>
      </c>
      <c r="J55" s="47">
        <f t="shared" si="45"/>
        <v>1771.1342999999999</v>
      </c>
      <c r="K55" s="47">
        <f t="shared" si="45"/>
        <v>1771.1342999999999</v>
      </c>
      <c r="L55" s="47">
        <f t="shared" si="45"/>
        <v>1771.1342999999999</v>
      </c>
      <c r="M55" s="47"/>
      <c r="N55" s="47"/>
      <c r="O55" s="47"/>
    </row>
    <row r="56" spans="1:20" x14ac:dyDescent="0.2">
      <c r="A56" s="49" t="s">
        <v>323</v>
      </c>
      <c r="C56" s="47"/>
      <c r="D56" s="47"/>
      <c r="E56" s="47"/>
      <c r="F56" s="47"/>
      <c r="G56" s="47"/>
      <c r="H56" s="47">
        <f t="shared" ref="H56:M57" si="46">$H$54/6</f>
        <v>0</v>
      </c>
      <c r="I56" s="47">
        <f t="shared" si="46"/>
        <v>0</v>
      </c>
      <c r="J56" s="47">
        <f t="shared" si="46"/>
        <v>0</v>
      </c>
      <c r="K56" s="47">
        <f t="shared" si="46"/>
        <v>0</v>
      </c>
      <c r="L56" s="47">
        <f t="shared" si="46"/>
        <v>0</v>
      </c>
      <c r="M56" s="47">
        <f t="shared" si="46"/>
        <v>0</v>
      </c>
      <c r="N56" s="47"/>
      <c r="O56" s="47"/>
    </row>
    <row r="57" spans="1:20" x14ac:dyDescent="0.2">
      <c r="A57" s="49" t="s">
        <v>323</v>
      </c>
      <c r="B57" s="15"/>
      <c r="C57" s="27"/>
      <c r="D57" s="27"/>
      <c r="E57" s="27"/>
      <c r="F57" s="27"/>
      <c r="G57" s="27"/>
      <c r="H57" s="27">
        <f t="shared" si="46"/>
        <v>0</v>
      </c>
      <c r="I57" s="27">
        <f t="shared" si="46"/>
        <v>0</v>
      </c>
      <c r="J57" s="27">
        <f t="shared" si="46"/>
        <v>0</v>
      </c>
      <c r="K57" s="27">
        <f t="shared" si="46"/>
        <v>0</v>
      </c>
      <c r="L57" s="27">
        <f t="shared" si="46"/>
        <v>0</v>
      </c>
      <c r="M57" s="27">
        <f t="shared" si="46"/>
        <v>0</v>
      </c>
      <c r="N57" s="27"/>
      <c r="O57" s="27"/>
    </row>
    <row r="58" spans="1:20" x14ac:dyDescent="0.2">
      <c r="A58" s="112" t="str">
        <f>'OLD-KPI'!A25</f>
        <v>Change hub, OVH propeller</v>
      </c>
      <c r="B58" s="38"/>
      <c r="C58" s="113"/>
      <c r="D58" s="113"/>
      <c r="E58" s="113"/>
      <c r="F58" s="113"/>
      <c r="G58" s="113"/>
      <c r="H58" s="113"/>
      <c r="I58" s="143"/>
      <c r="J58" s="113"/>
      <c r="K58" s="113"/>
      <c r="L58" s="113"/>
      <c r="M58" s="113"/>
      <c r="N58" s="113"/>
      <c r="O58" s="114">
        <f>SUMIFS(Montant,StatsYear,O$5,StatsType,$A58)/2</f>
        <v>0</v>
      </c>
    </row>
    <row r="59" spans="1:20" x14ac:dyDescent="0.2">
      <c r="A59" s="112" t="str">
        <f>'OLD-KPI'!A28</f>
        <v>Landing gear replacement</v>
      </c>
      <c r="B59" s="38"/>
      <c r="C59" s="113">
        <f t="shared" ref="C59:O60" si="47">SUMIFS(Montant,StatsYear,C$5,StatsType,$A59)</f>
        <v>0</v>
      </c>
      <c r="D59" s="113">
        <f t="shared" si="47"/>
        <v>0</v>
      </c>
      <c r="E59" s="113">
        <f t="shared" si="47"/>
        <v>0</v>
      </c>
      <c r="F59" s="113">
        <f t="shared" si="47"/>
        <v>0</v>
      </c>
      <c r="G59" s="113">
        <f t="shared" si="47"/>
        <v>0</v>
      </c>
      <c r="H59" s="113">
        <f t="shared" si="47"/>
        <v>0</v>
      </c>
      <c r="I59" s="114">
        <f t="shared" si="47"/>
        <v>-24222.510000000002</v>
      </c>
      <c r="J59" s="113">
        <f t="shared" si="47"/>
        <v>0</v>
      </c>
      <c r="K59" s="113">
        <f t="shared" si="47"/>
        <v>0</v>
      </c>
      <c r="L59" s="113">
        <f t="shared" si="47"/>
        <v>0</v>
      </c>
      <c r="M59" s="113">
        <f t="shared" si="47"/>
        <v>0</v>
      </c>
      <c r="N59" s="113">
        <f t="shared" si="47"/>
        <v>0</v>
      </c>
      <c r="O59" s="113">
        <f t="shared" si="47"/>
        <v>0</v>
      </c>
    </row>
    <row r="60" spans="1:20" x14ac:dyDescent="0.2">
      <c r="A60" s="112" t="str">
        <f>'OLD-KPI'!A29</f>
        <v>Raft, life jackets, O2 masks</v>
      </c>
      <c r="B60" s="38"/>
      <c r="C60" s="113">
        <f t="shared" si="47"/>
        <v>0</v>
      </c>
      <c r="D60" s="113">
        <f t="shared" si="47"/>
        <v>0</v>
      </c>
      <c r="E60" s="114">
        <f t="shared" si="47"/>
        <v>1872</v>
      </c>
      <c r="F60" s="113">
        <f t="shared" si="47"/>
        <v>0</v>
      </c>
      <c r="G60" s="113">
        <f t="shared" si="47"/>
        <v>0</v>
      </c>
      <c r="H60" s="113">
        <f t="shared" si="47"/>
        <v>0</v>
      </c>
      <c r="I60" s="113">
        <f t="shared" si="47"/>
        <v>0</v>
      </c>
      <c r="J60" s="113">
        <f t="shared" si="47"/>
        <v>0</v>
      </c>
      <c r="K60" s="113">
        <f t="shared" si="47"/>
        <v>0</v>
      </c>
      <c r="L60" s="113">
        <f t="shared" si="47"/>
        <v>0</v>
      </c>
      <c r="M60" s="114">
        <f t="shared" si="47"/>
        <v>898.53660000000002</v>
      </c>
      <c r="N60" s="113">
        <f t="shared" si="47"/>
        <v>0</v>
      </c>
      <c r="O60" s="113">
        <f t="shared" si="47"/>
        <v>0</v>
      </c>
    </row>
    <row r="61" spans="1:20" x14ac:dyDescent="0.2">
      <c r="A61" s="24" t="s">
        <v>324</v>
      </c>
    </row>
    <row r="62" spans="1:20" x14ac:dyDescent="0.2">
      <c r="A62" s="24" t="s">
        <v>325</v>
      </c>
    </row>
    <row r="63" spans="1:20" x14ac:dyDescent="0.2">
      <c r="A63" s="24" t="s">
        <v>150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333E-F8ED-FF49-826F-26B0BAF4B15F}">
  <dimension ref="A1:F35"/>
  <sheetViews>
    <sheetView topLeftCell="A5" zoomScale="130" zoomScaleNormal="130" workbookViewId="0">
      <selection activeCell="A17" sqref="A17"/>
    </sheetView>
  </sheetViews>
  <sheetFormatPr baseColWidth="10" defaultRowHeight="16" x14ac:dyDescent="0.2"/>
  <cols>
    <col min="1" max="1" width="30.33203125" customWidth="1"/>
    <col min="2" max="2" width="11.6640625" customWidth="1"/>
    <col min="3" max="3" width="9.6640625" customWidth="1"/>
    <col min="4" max="4" width="43.83203125" customWidth="1"/>
    <col min="5" max="5" width="10.83203125" customWidth="1"/>
  </cols>
  <sheetData>
    <row r="1" spans="1:5" ht="29" x14ac:dyDescent="0.35">
      <c r="A1" s="1" t="s">
        <v>254</v>
      </c>
      <c r="B1" s="1"/>
    </row>
    <row r="2" spans="1:5" x14ac:dyDescent="0.2">
      <c r="A2" t="s">
        <v>269</v>
      </c>
    </row>
    <row r="3" spans="1:5" x14ac:dyDescent="0.2">
      <c r="A3" t="s">
        <v>270</v>
      </c>
    </row>
    <row r="4" spans="1:5" x14ac:dyDescent="0.2">
      <c r="A4" t="s">
        <v>271</v>
      </c>
    </row>
    <row r="5" spans="1:5" ht="24" x14ac:dyDescent="0.3">
      <c r="A5" s="2" t="s">
        <v>272</v>
      </c>
      <c r="B5" t="s">
        <v>273</v>
      </c>
      <c r="D5" s="24"/>
    </row>
    <row r="6" spans="1:5" x14ac:dyDescent="0.2">
      <c r="A6" s="3" t="s">
        <v>0</v>
      </c>
      <c r="B6" s="3"/>
      <c r="D6" s="4" t="s">
        <v>274</v>
      </c>
    </row>
    <row r="7" spans="1:5" x14ac:dyDescent="0.2">
      <c r="A7" t="s">
        <v>275</v>
      </c>
      <c r="B7" s="13">
        <f>SUM('OLD-Stats'!C13:O13)</f>
        <v>1378.9284999999998</v>
      </c>
      <c r="D7" s="5" t="s">
        <v>277</v>
      </c>
    </row>
    <row r="8" spans="1:5" x14ac:dyDescent="0.2">
      <c r="A8" t="s">
        <v>85</v>
      </c>
      <c r="B8" s="13">
        <f>SUM('OLD-Stats'!C14:O14)</f>
        <v>5382.0747999999994</v>
      </c>
      <c r="D8" s="5" t="s">
        <v>278</v>
      </c>
    </row>
    <row r="9" spans="1:5" x14ac:dyDescent="0.2">
      <c r="A9" t="s">
        <v>276</v>
      </c>
      <c r="B9" s="13">
        <f>SUM('OLD-Stats'!C18:O18)</f>
        <v>525</v>
      </c>
    </row>
    <row r="10" spans="1:5" x14ac:dyDescent="0.2">
      <c r="A10" t="s">
        <v>86</v>
      </c>
      <c r="B10" s="13">
        <f>SUM('OLD-Stats'!C19:O19)</f>
        <v>0</v>
      </c>
    </row>
    <row r="11" spans="1:5" x14ac:dyDescent="0.2">
      <c r="A11" s="3" t="s">
        <v>0</v>
      </c>
      <c r="B11" s="3"/>
      <c r="D11" s="4" t="s">
        <v>279</v>
      </c>
    </row>
    <row r="12" spans="1:5" x14ac:dyDescent="0.2">
      <c r="A12" t="s">
        <v>287</v>
      </c>
      <c r="B12" s="13">
        <f>SUM('OLD-Stats'!C27:O27)</f>
        <v>4057.95</v>
      </c>
      <c r="D12" s="5" t="s">
        <v>280</v>
      </c>
    </row>
    <row r="13" spans="1:5" x14ac:dyDescent="0.2">
      <c r="A13" t="s">
        <v>288</v>
      </c>
      <c r="B13" s="159">
        <f>SUM('OLD-Stats'!C26:O26)</f>
        <v>351.25</v>
      </c>
      <c r="D13" s="5" t="s">
        <v>281</v>
      </c>
      <c r="E13" s="161"/>
    </row>
    <row r="14" spans="1:5" x14ac:dyDescent="0.2">
      <c r="A14" t="s">
        <v>82</v>
      </c>
      <c r="B14" s="13">
        <f>SUM('OLD-Stats'!C28:O28)</f>
        <v>10764.0576</v>
      </c>
      <c r="D14" s="5" t="s">
        <v>282</v>
      </c>
    </row>
    <row r="15" spans="1:5" x14ac:dyDescent="0.2">
      <c r="A15" t="s">
        <v>130</v>
      </c>
      <c r="B15" s="13">
        <f>SUM('OLD-Stats'!C29:O29)</f>
        <v>3868.0877999999998</v>
      </c>
      <c r="D15" s="5" t="s">
        <v>283</v>
      </c>
    </row>
    <row r="16" spans="1:5" x14ac:dyDescent="0.2">
      <c r="A16" t="s">
        <v>326</v>
      </c>
      <c r="B16" s="13">
        <f>SUM('OLD-Stats'!C30:O30)</f>
        <v>-9837.9699999999993</v>
      </c>
      <c r="D16" s="5" t="s">
        <v>284</v>
      </c>
      <c r="E16" s="5"/>
    </row>
    <row r="17" spans="1:6" x14ac:dyDescent="0.2">
      <c r="A17" t="s">
        <v>83</v>
      </c>
      <c r="B17" s="13">
        <f>SUM('OLD-Stats'!C31:O31)</f>
        <v>9178.5776000000005</v>
      </c>
      <c r="D17" s="5" t="s">
        <v>159</v>
      </c>
    </row>
    <row r="18" spans="1:6" x14ac:dyDescent="0.2">
      <c r="A18" t="s">
        <v>129</v>
      </c>
      <c r="B18" s="13">
        <f>SUM('OLD-Stats'!C32:O32)</f>
        <v>10851.661000000002</v>
      </c>
      <c r="D18" s="5" t="s">
        <v>285</v>
      </c>
    </row>
    <row r="19" spans="1:6" x14ac:dyDescent="0.2">
      <c r="A19" t="s">
        <v>84</v>
      </c>
      <c r="B19" s="13">
        <f>SUM('OLD-Stats'!C33:O33)</f>
        <v>330.23250000000002</v>
      </c>
      <c r="D19" s="5" t="s">
        <v>286</v>
      </c>
      <c r="E19" s="5"/>
    </row>
    <row r="20" spans="1:6" x14ac:dyDescent="0.2">
      <c r="A20" t="s">
        <v>89</v>
      </c>
      <c r="B20" s="13">
        <f>SUM('OLD-Stats'!C34:O34)</f>
        <v>1086.174</v>
      </c>
      <c r="D20" s="5" t="s">
        <v>90</v>
      </c>
      <c r="E20" s="5"/>
    </row>
    <row r="21" spans="1:6" x14ac:dyDescent="0.2">
      <c r="A21" s="3" t="s">
        <v>87</v>
      </c>
      <c r="B21" s="3"/>
      <c r="D21" s="4" t="s">
        <v>289</v>
      </c>
    </row>
    <row r="22" spans="1:6" x14ac:dyDescent="0.2">
      <c r="A22" t="s">
        <v>9</v>
      </c>
      <c r="B22" s="13">
        <f>SUM('OLD-Stats'!C39:O39)</f>
        <v>330.6</v>
      </c>
      <c r="C22" t="s">
        <v>309</v>
      </c>
      <c r="D22" s="5" t="s">
        <v>290</v>
      </c>
    </row>
    <row r="23" spans="1:6" x14ac:dyDescent="0.2">
      <c r="A23" t="s">
        <v>291</v>
      </c>
      <c r="B23" s="13">
        <f>SUM('OLD-Stats'!C41:O41)</f>
        <v>62738.434100000006</v>
      </c>
      <c r="C23" t="s">
        <v>308</v>
      </c>
      <c r="D23" s="5" t="s">
        <v>1</v>
      </c>
    </row>
    <row r="24" spans="1:6" x14ac:dyDescent="0.2">
      <c r="A24" t="s">
        <v>292</v>
      </c>
      <c r="B24" s="13">
        <f>SUM('OLD-Stats'!C43:O43)</f>
        <v>2484.6705000000002</v>
      </c>
      <c r="C24" t="s">
        <v>306</v>
      </c>
      <c r="D24" s="5" t="s">
        <v>237</v>
      </c>
    </row>
    <row r="25" spans="1:6" x14ac:dyDescent="0.2">
      <c r="A25" s="171" t="s">
        <v>294</v>
      </c>
      <c r="B25" s="13">
        <f>SUM('OLD-Stats'!C47:O47)</f>
        <v>6893.9624999999996</v>
      </c>
      <c r="C25" t="s">
        <v>307</v>
      </c>
      <c r="D25" s="5" t="s">
        <v>238</v>
      </c>
    </row>
    <row r="26" spans="1:6" x14ac:dyDescent="0.2">
      <c r="A26" t="s">
        <v>295</v>
      </c>
      <c r="B26" s="13">
        <f>SUM('OLD-Stats'!C51:O51)</f>
        <v>6763.1616000000004</v>
      </c>
      <c r="C26" t="s">
        <v>305</v>
      </c>
      <c r="D26" s="5" t="s">
        <v>296</v>
      </c>
      <c r="E26" s="5"/>
    </row>
    <row r="27" spans="1:6" x14ac:dyDescent="0.2">
      <c r="A27" t="s">
        <v>10</v>
      </c>
      <c r="B27" s="13">
        <f>SUM('OLD-Stats'!C54:O54)</f>
        <v>10769.605799999999</v>
      </c>
      <c r="C27" t="s">
        <v>304</v>
      </c>
      <c r="D27" s="5" t="s">
        <v>239</v>
      </c>
    </row>
    <row r="28" spans="1:6" x14ac:dyDescent="0.2">
      <c r="A28" t="s">
        <v>148</v>
      </c>
      <c r="B28" s="13">
        <f>SUM('OLD-Stats'!C59:O59)</f>
        <v>-24222.510000000002</v>
      </c>
      <c r="C28" t="s">
        <v>158</v>
      </c>
      <c r="D28" s="5" t="s">
        <v>298</v>
      </c>
      <c r="E28" s="5"/>
      <c r="F28" s="5"/>
    </row>
    <row r="29" spans="1:6" x14ac:dyDescent="0.2">
      <c r="A29" t="s">
        <v>297</v>
      </c>
      <c r="B29" s="13">
        <f>SUM('OLD-Stats'!C60:O60)</f>
        <v>2770.5365999999999</v>
      </c>
      <c r="C29" t="s">
        <v>303</v>
      </c>
      <c r="D29" s="5" t="s">
        <v>299</v>
      </c>
      <c r="E29" s="5"/>
    </row>
    <row r="30" spans="1:6" x14ac:dyDescent="0.2">
      <c r="A30" t="s">
        <v>301</v>
      </c>
      <c r="B30" s="13">
        <f>SUM('OLD-Stats'!C58:O58)</f>
        <v>0</v>
      </c>
      <c r="C30" t="s">
        <v>302</v>
      </c>
      <c r="D30" s="5" t="s">
        <v>300</v>
      </c>
    </row>
    <row r="32" spans="1:6" x14ac:dyDescent="0.2">
      <c r="A32" s="172" t="s">
        <v>311</v>
      </c>
    </row>
    <row r="33" spans="1:4" x14ac:dyDescent="0.2">
      <c r="A33" s="173" t="s">
        <v>310</v>
      </c>
    </row>
    <row r="34" spans="1:4" x14ac:dyDescent="0.2">
      <c r="A34" s="172" t="s">
        <v>312</v>
      </c>
      <c r="D34" s="162">
        <f>B13/('OLD-Stats'!O7-'OLD-Stats'!C6)</f>
        <v>0.52106512386886228</v>
      </c>
    </row>
    <row r="35" spans="1:4" x14ac:dyDescent="0.2">
      <c r="A35" s="172" t="s">
        <v>313</v>
      </c>
      <c r="D35" s="162">
        <f>SUM('OLD-Stats'!H26:O26)/('OLD-Stats'!O7-'OLD-Stats'!H6)</f>
        <v>2.6774369214013435E-2</v>
      </c>
    </row>
  </sheetData>
  <phoneticPr fontId="31" type="noConversion"/>
  <pageMargins left="0.7" right="0.7" top="0.75" bottom="0.75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AA5870-E904-9E4C-AEA8-469B57F8E8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OLD-Data</vt:lpstr>
      <vt:lpstr>OLD-Stats</vt:lpstr>
      <vt:lpstr>OLD-KPI</vt:lpstr>
      <vt:lpstr>Man_hours</vt:lpstr>
      <vt:lpstr>Montant</vt:lpstr>
      <vt:lpstr>'OLD-Data'!Print_Area</vt:lpstr>
      <vt:lpstr>StatsType</vt:lpstr>
      <vt:lpstr>StatsYear</vt:lpstr>
      <vt:lpstr>VFuelVol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Vu Tien</dc:creator>
  <cp:lastModifiedBy>Khang Vu Tien</cp:lastModifiedBy>
  <cp:lastPrinted>2025-05-28T12:56:31Z</cp:lastPrinted>
  <dcterms:created xsi:type="dcterms:W3CDTF">2024-04-13T08:10:45Z</dcterms:created>
  <dcterms:modified xsi:type="dcterms:W3CDTF">2026-01-28T14:07:16Z</dcterms:modified>
</cp:coreProperties>
</file>