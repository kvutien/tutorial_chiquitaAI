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vutien/Dropbox/MachuPicchu/Machu Picchu blogs/20251219 AI coding assistance/Excel example/"/>
    </mc:Choice>
  </mc:AlternateContent>
  <xr:revisionPtr revIDLastSave="0" documentId="13_ncr:1_{ACFF59C5-D09C-1547-BCEB-9B5370BFA119}" xr6:coauthVersionLast="47" xr6:coauthVersionMax="47" xr10:uidLastSave="{00000000-0000-0000-0000-000000000000}"/>
  <bookViews>
    <workbookView xWindow="9020" yWindow="5520" windowWidth="49640" windowHeight="29100" activeTab="1" xr2:uid="{6B9E7814-DFE1-2545-8919-A0092A6475EC}"/>
  </bookViews>
  <sheets>
    <sheet name="README" sheetId="13" r:id="rId1"/>
    <sheet name="Dashboard" sheetId="18" r:id="rId2"/>
    <sheet name="Expenses" sheetId="17" r:id="rId3"/>
    <sheet name="AVGAS" sheetId="23" r:id="rId4"/>
    <sheet name="Flights" sheetId="12" r:id="rId5"/>
    <sheet name="Contribs" sheetId="21" r:id="rId6"/>
    <sheet name="Params" sheetId="14" r:id="rId7"/>
    <sheet name="Pivots" sheetId="16" r:id="rId8"/>
    <sheet name="Misc." sheetId="25" r:id="rId9"/>
  </sheets>
  <definedNames>
    <definedName name="ExternalData_1" localSheetId="5" hidden="1">Contribs!$A$1:$D$15</definedName>
    <definedName name="ExternalData_1" localSheetId="2" hidden="1">Expenses!$A$1:$N$41</definedName>
    <definedName name="ExternalData_3" localSheetId="3" hidden="1">AVGAS!$A$1:$J$12</definedName>
    <definedName name="ExternalData_3" localSheetId="4" hidden="1">Flights!$A$1:$O$22</definedName>
    <definedName name="tblSpilledLogs">#REF!</definedName>
  </definedNames>
  <calcPr calcId="191029"/>
  <pivotCaches>
    <pivotCache cacheId="927" r:id="rId10"/>
    <pivotCache cacheId="928" r:id="rId11"/>
    <pivotCache cacheId="929" r:id="rId12"/>
    <pivotCache cacheId="93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1" l="1"/>
  <c r="E11" i="21"/>
  <c r="E12" i="21"/>
  <c r="K21" i="17"/>
  <c r="L21" i="17"/>
  <c r="M21" i="17"/>
  <c r="N21" i="17"/>
  <c r="K36" i="17"/>
  <c r="L36" i="17"/>
  <c r="M36" i="17"/>
  <c r="N36" i="17"/>
  <c r="K26" i="17"/>
  <c r="L26" i="17"/>
  <c r="M26" i="17"/>
  <c r="N26" i="17" s="1"/>
  <c r="K17" i="17"/>
  <c r="L17" i="17"/>
  <c r="M17" i="17"/>
  <c r="N17" i="17" s="1"/>
  <c r="K9" i="17"/>
  <c r="L9" i="17"/>
  <c r="M9" i="17"/>
  <c r="N9" i="17"/>
  <c r="K10" i="17"/>
  <c r="L10" i="17"/>
  <c r="M10" i="17"/>
  <c r="N10" i="17" s="1"/>
  <c r="N15" i="12"/>
  <c r="O15" i="12"/>
  <c r="Q15" i="12" a="1"/>
  <c r="Q15" i="12" s="1"/>
  <c r="P15" i="12"/>
  <c r="R15" i="12"/>
  <c r="S15" i="12"/>
  <c r="T15" i="12"/>
  <c r="U15" i="12" l="1"/>
  <c r="P3" i="25" l="1"/>
  <c r="Q3" i="25" s="1"/>
  <c r="M3" i="25"/>
  <c r="J3" i="25"/>
  <c r="G3" i="25"/>
  <c r="A2" i="25" a="1"/>
  <c r="C23" i="25" s="1"/>
  <c r="G54" i="14"/>
  <c r="H54" i="14"/>
  <c r="I54" i="14"/>
  <c r="J54" i="14"/>
  <c r="K54" i="14"/>
  <c r="L54" i="14"/>
  <c r="M54" i="14"/>
  <c r="N54" i="14"/>
  <c r="O54" i="14"/>
  <c r="P19" i="18" a="1"/>
  <c r="P19" i="18" s="1"/>
  <c r="P3" i="18" a="1"/>
  <c r="P3" i="18" s="1"/>
  <c r="J7" i="18"/>
  <c r="E7" i="18"/>
  <c r="G7" i="18"/>
  <c r="H7" i="18"/>
  <c r="F7" i="18"/>
  <c r="K7" i="18"/>
  <c r="I7" i="18"/>
  <c r="R4" i="12"/>
  <c r="R2" i="12"/>
  <c r="R3" i="12"/>
  <c r="R21" i="12"/>
  <c r="R17" i="12"/>
  <c r="R7" i="12"/>
  <c r="R11" i="12"/>
  <c r="R5" i="12"/>
  <c r="R13" i="12"/>
  <c r="R6" i="12"/>
  <c r="R18" i="12"/>
  <c r="R22" i="12"/>
  <c r="R10" i="12"/>
  <c r="R12" i="12"/>
  <c r="R20" i="12"/>
  <c r="R8" i="12"/>
  <c r="R9" i="12"/>
  <c r="R16" i="12"/>
  <c r="R19" i="12"/>
  <c r="R14" i="12"/>
  <c r="C3" i="25" l="1"/>
  <c r="C11" i="25"/>
  <c r="C17" i="25"/>
  <c r="C16" i="25"/>
  <c r="C6" i="25"/>
  <c r="C26" i="25"/>
  <c r="C22" i="25"/>
  <c r="C21" i="25"/>
  <c r="C10" i="25"/>
  <c r="C8" i="25"/>
  <c r="C7" i="25"/>
  <c r="C15" i="25"/>
  <c r="C13" i="25"/>
  <c r="C27" i="25"/>
  <c r="C25" i="25"/>
  <c r="A2" i="25"/>
  <c r="C45" i="25"/>
  <c r="C18" i="25"/>
  <c r="C28" i="25"/>
  <c r="C12" i="25"/>
  <c r="C37" i="25"/>
  <c r="C44" i="25"/>
  <c r="C43" i="25"/>
  <c r="C42" i="25"/>
  <c r="C36" i="25"/>
  <c r="C35" i="25"/>
  <c r="C9" i="25"/>
  <c r="C34" i="25"/>
  <c r="C24" i="25"/>
  <c r="C14" i="25"/>
  <c r="C41" i="25"/>
  <c r="C40" i="25"/>
  <c r="C32" i="25"/>
  <c r="C39" i="25"/>
  <c r="C48" i="25"/>
  <c r="C38" i="25"/>
  <c r="C31" i="25"/>
  <c r="C5" i="25"/>
  <c r="C30" i="25"/>
  <c r="C20" i="25"/>
  <c r="C47" i="25"/>
  <c r="C33" i="25"/>
  <c r="C4" i="25"/>
  <c r="C29" i="25"/>
  <c r="C19" i="25"/>
  <c r="C46" i="25"/>
  <c r="I12" i="23"/>
  <c r="H12" i="23"/>
  <c r="J12" i="23" s="1"/>
  <c r="J11" i="23"/>
  <c r="I11" i="23"/>
  <c r="J10" i="23"/>
  <c r="I10" i="23"/>
  <c r="J9" i="23"/>
  <c r="I9" i="23"/>
  <c r="J8" i="23"/>
  <c r="I8" i="23"/>
  <c r="J7" i="23"/>
  <c r="I7" i="23"/>
  <c r="J6" i="23"/>
  <c r="I6" i="23"/>
  <c r="J5" i="23"/>
  <c r="I5" i="23"/>
  <c r="J4" i="23"/>
  <c r="I4" i="23"/>
  <c r="J3" i="23"/>
  <c r="I3" i="23"/>
  <c r="J2" i="23"/>
  <c r="I2" i="23"/>
  <c r="D38" i="18"/>
  <c r="G22" i="18"/>
  <c r="J22" i="18"/>
  <c r="H23" i="18"/>
  <c r="E23" i="18"/>
  <c r="L23" i="18"/>
  <c r="E22" i="18"/>
  <c r="J23" i="18"/>
  <c r="K19" i="18"/>
  <c r="H20" i="18"/>
  <c r="I14" i="18"/>
  <c r="I19" i="18"/>
  <c r="H22" i="18"/>
  <c r="I22" i="18"/>
  <c r="L19" i="18"/>
  <c r="G20" i="18"/>
  <c r="J14" i="18"/>
  <c r="J16" i="18"/>
  <c r="E19" i="18"/>
  <c r="F14" i="18"/>
  <c r="I16" i="18"/>
  <c r="J19" i="18"/>
  <c r="K20" i="18"/>
  <c r="K16" i="18"/>
  <c r="K14" i="18"/>
  <c r="I23" i="18"/>
  <c r="H16" i="18"/>
  <c r="G19" i="18"/>
  <c r="E16" i="18"/>
  <c r="L20" i="18"/>
  <c r="G16" i="18"/>
  <c r="F22" i="18"/>
  <c r="H14" i="18"/>
  <c r="E20" i="18"/>
  <c r="H19" i="18"/>
  <c r="F20" i="18"/>
  <c r="F19" i="18"/>
  <c r="J20" i="18"/>
  <c r="G23" i="18"/>
  <c r="F23" i="18"/>
  <c r="L22" i="18"/>
  <c r="L16" i="18"/>
  <c r="K23" i="18"/>
  <c r="L14" i="18"/>
  <c r="K22" i="18"/>
  <c r="F16" i="18"/>
  <c r="I20" i="18"/>
  <c r="G14" i="18"/>
  <c r="E14" i="18"/>
  <c r="D20" i="18" l="1"/>
  <c r="D19" i="18"/>
  <c r="D21" i="18" l="1"/>
  <c r="D16" i="18"/>
  <c r="D14" i="18"/>
  <c r="D37" i="18" l="1"/>
  <c r="D22" i="18"/>
  <c r="C16" i="18"/>
  <c r="D13" i="18" a="1"/>
  <c r="D13" i="18" s="1"/>
  <c r="Q11" i="18" a="1"/>
  <c r="Q11" i="18" l="1"/>
  <c r="F26" i="18"/>
  <c r="D33" i="18"/>
  <c r="C7" i="18" l="1"/>
  <c r="K5" i="18"/>
  <c r="J5" i="18"/>
  <c r="I5" i="18"/>
  <c r="H5" i="18"/>
  <c r="G5" i="18"/>
  <c r="F5" i="18"/>
  <c r="E5" i="18"/>
  <c r="D5" i="18"/>
  <c r="D7" i="18" s="1"/>
  <c r="K18" i="18"/>
  <c r="G24" i="18"/>
  <c r="H15" i="18"/>
  <c r="H24" i="18"/>
  <c r="F18" i="18"/>
  <c r="G17" i="18"/>
  <c r="D15" i="18"/>
  <c r="F24" i="18"/>
  <c r="I15" i="18"/>
  <c r="E18" i="18"/>
  <c r="L15" i="18"/>
  <c r="G18" i="18"/>
  <c r="F17" i="18"/>
  <c r="G15" i="18"/>
  <c r="E15" i="18"/>
  <c r="I18" i="18"/>
  <c r="L17" i="18"/>
  <c r="J15" i="18"/>
  <c r="D24" i="18"/>
  <c r="I17" i="18"/>
  <c r="H17" i="18"/>
  <c r="E24" i="18"/>
  <c r="J18" i="18"/>
  <c r="L18" i="18"/>
  <c r="D17" i="18"/>
  <c r="L24" i="18"/>
  <c r="J17" i="18"/>
  <c r="K17" i="18"/>
  <c r="E17" i="18"/>
  <c r="H18" i="18"/>
  <c r="K24" i="18"/>
  <c r="K15" i="18"/>
  <c r="I24" i="18"/>
  <c r="J24" i="18"/>
  <c r="F15" i="18"/>
  <c r="D18" i="18"/>
  <c r="D31" i="18" l="1"/>
  <c r="D30" i="18"/>
  <c r="D26" i="18"/>
  <c r="K26" i="18"/>
  <c r="D27" i="18"/>
  <c r="D23" i="18"/>
  <c r="C14" i="18"/>
  <c r="C15" i="18"/>
  <c r="C17" i="18"/>
  <c r="C18" i="18"/>
  <c r="C19" i="18"/>
  <c r="C20" i="18"/>
  <c r="I26" i="18"/>
  <c r="H26" i="18"/>
  <c r="L26" i="18"/>
  <c r="J26" i="18"/>
  <c r="G26" i="18"/>
  <c r="E26" i="18"/>
  <c r="I27" i="18"/>
  <c r="H27" i="18"/>
  <c r="G27" i="18"/>
  <c r="F27" i="18"/>
  <c r="L27" i="18"/>
  <c r="K27" i="18"/>
  <c r="J27" i="18"/>
  <c r="E27" i="18"/>
  <c r="E30" i="18"/>
  <c r="E21" i="18"/>
  <c r="H30" i="18"/>
  <c r="H21" i="18"/>
  <c r="G30" i="18"/>
  <c r="G21" i="18"/>
  <c r="L21" i="18"/>
  <c r="K21" i="18"/>
  <c r="J21" i="18"/>
  <c r="I21" i="18"/>
  <c r="F30" i="18"/>
  <c r="F21" i="18"/>
  <c r="E31" i="18"/>
  <c r="H31" i="18"/>
  <c r="G31" i="18"/>
  <c r="F31" i="18"/>
  <c r="P12" i="18" a="1"/>
  <c r="D28" i="18" l="1"/>
  <c r="P12" i="18"/>
  <c r="I28" i="18"/>
  <c r="H28" i="18"/>
  <c r="G28" i="18"/>
  <c r="E28" i="18"/>
  <c r="F28" i="18"/>
  <c r="Q34" i="18" a="1"/>
  <c r="Q34" i="18" s="1"/>
  <c r="P35" i="18" a="1"/>
  <c r="Q37" i="18" s="1" a="1"/>
  <c r="Q37" i="18" s="1"/>
  <c r="Q12" i="18" a="1"/>
  <c r="Q12" i="18" l="1"/>
  <c r="P35" i="18"/>
  <c r="Q35" i="18" s="1" a="1"/>
  <c r="Q35" i="18" s="1"/>
  <c r="S37" i="18" a="1"/>
  <c r="S37" i="18" s="1"/>
  <c r="W38" i="18" a="1"/>
  <c r="W38" i="18" s="1"/>
  <c r="R39" i="18" a="1"/>
  <c r="R39" i="18" s="1"/>
  <c r="T37" i="18" a="1"/>
  <c r="T37" i="18" s="1"/>
  <c r="U37" i="18" a="1"/>
  <c r="U37" i="18" s="1"/>
  <c r="S39" i="18" a="1"/>
  <c r="S39" i="18" s="1"/>
  <c r="V37" i="18" a="1"/>
  <c r="V37" i="18" s="1"/>
  <c r="T39" i="18" a="1"/>
  <c r="T39" i="18" s="1"/>
  <c r="R36" i="18" a="1"/>
  <c r="R36" i="18" s="1"/>
  <c r="S36" i="18" a="1"/>
  <c r="S36" i="18" s="1"/>
  <c r="W37" i="18" a="1"/>
  <c r="W37" i="18" s="1"/>
  <c r="U39" i="18" a="1"/>
  <c r="U39" i="18" s="1"/>
  <c r="R38" i="18" a="1"/>
  <c r="R38" i="18" s="1"/>
  <c r="V39" i="18" a="1"/>
  <c r="V39" i="18" s="1"/>
  <c r="U36" i="18" a="1"/>
  <c r="U36" i="18" s="1"/>
  <c r="S38" i="18" a="1"/>
  <c r="S38" i="18" s="1"/>
  <c r="W39" i="18" a="1"/>
  <c r="W39" i="18" s="1"/>
  <c r="V36" i="18" a="1"/>
  <c r="V36" i="18" s="1"/>
  <c r="T38" i="18" a="1"/>
  <c r="T38" i="18" s="1"/>
  <c r="V38" i="18" a="1"/>
  <c r="V38" i="18" s="1"/>
  <c r="U38" i="18" a="1"/>
  <c r="U38" i="18" s="1"/>
  <c r="R37" i="18" a="1"/>
  <c r="R37" i="18" s="1"/>
  <c r="T36" i="18" a="1"/>
  <c r="T36" i="18" s="1"/>
  <c r="W36" i="18" a="1"/>
  <c r="W36" i="18" s="1"/>
  <c r="Q38" i="18" a="1"/>
  <c r="Q38" i="18" s="1"/>
  <c r="Q39" i="18" a="1"/>
  <c r="Q39" i="18" s="1"/>
  <c r="Q36" i="18" a="1"/>
  <c r="Q36" i="18" s="1"/>
  <c r="R35" i="18" l="1" a="1"/>
  <c r="R35" i="18" s="1"/>
  <c r="S35" i="18" a="1"/>
  <c r="S35" i="18" s="1"/>
  <c r="U35" i="18" a="1"/>
  <c r="U35" i="18" s="1"/>
  <c r="V35" i="18" a="1"/>
  <c r="V35" i="18" s="1"/>
  <c r="T35" i="18" a="1"/>
  <c r="T35" i="18" s="1"/>
  <c r="W35" i="18" a="1"/>
  <c r="W35" i="18" s="1"/>
  <c r="N22" i="12"/>
  <c r="O22" i="12"/>
  <c r="N20" i="12"/>
  <c r="N21" i="12"/>
  <c r="O20" i="12"/>
  <c r="O21" i="12"/>
  <c r="N18" i="12"/>
  <c r="N19" i="12"/>
  <c r="O18" i="12"/>
  <c r="O19" i="12"/>
  <c r="N17" i="12"/>
  <c r="O17" i="12"/>
  <c r="N16" i="12"/>
  <c r="O16" i="12"/>
  <c r="N14" i="12"/>
  <c r="O14" i="12"/>
  <c r="N13" i="12"/>
  <c r="O13" i="12"/>
  <c r="D39" i="18"/>
  <c r="P18" i="12"/>
  <c r="P14" i="12"/>
  <c r="P20" i="12"/>
  <c r="P21" i="12"/>
  <c r="P13" i="12"/>
  <c r="P17" i="12"/>
  <c r="S20" i="12"/>
  <c r="P22" i="12"/>
  <c r="P16" i="12"/>
  <c r="S13" i="12"/>
  <c r="S14" i="12"/>
  <c r="P19" i="12"/>
  <c r="S22" i="12"/>
  <c r="S16" i="12"/>
  <c r="S17" i="12"/>
  <c r="S21" i="12"/>
  <c r="Q16" i="12" l="1" a="1"/>
  <c r="Q16" i="12" s="1"/>
  <c r="U16" i="12" s="1"/>
  <c r="Q17" i="12" a="1"/>
  <c r="Q17" i="12" s="1"/>
  <c r="U17" i="12" s="1"/>
  <c r="Q18" i="12" a="1"/>
  <c r="Q18" i="12" s="1"/>
  <c r="Q21" i="12" a="1"/>
  <c r="Q21" i="12" s="1"/>
  <c r="U21" i="12" s="1"/>
  <c r="Q22" i="12" a="1"/>
  <c r="Q22" i="12" s="1"/>
  <c r="U22" i="12" s="1"/>
  <c r="Q14" i="12" a="1"/>
  <c r="Q14" i="12" s="1"/>
  <c r="U14" i="12" s="1"/>
  <c r="Q20" i="12" a="1"/>
  <c r="Q20" i="12" s="1"/>
  <c r="U20" i="12" s="1"/>
  <c r="Q19" i="12" a="1"/>
  <c r="Q19" i="12" s="1"/>
  <c r="Q13" i="12" a="1"/>
  <c r="Q13" i="12" s="1"/>
  <c r="U13" i="12" s="1"/>
  <c r="E15" i="21"/>
  <c r="E14" i="21"/>
  <c r="E13" i="21"/>
  <c r="E10" i="21"/>
  <c r="E8" i="21"/>
  <c r="E7" i="21"/>
  <c r="E6" i="21"/>
  <c r="E5" i="21"/>
  <c r="E4" i="21"/>
  <c r="E3" i="21"/>
  <c r="E2" i="21"/>
  <c r="S19" i="12"/>
  <c r="T20" i="12"/>
  <c r="T17" i="12"/>
  <c r="T22" i="12"/>
  <c r="T19" i="12"/>
  <c r="T14" i="12"/>
  <c r="T13" i="12"/>
  <c r="S18" i="12"/>
  <c r="T18" i="12"/>
  <c r="T16" i="12"/>
  <c r="T21" i="12"/>
  <c r="U19" i="12" l="1"/>
  <c r="U18" i="12"/>
  <c r="N8" i="12"/>
  <c r="N9" i="12"/>
  <c r="N10" i="12"/>
  <c r="N11" i="12"/>
  <c r="N12" i="12"/>
  <c r="O8" i="12"/>
  <c r="O9" i="12"/>
  <c r="O10" i="12"/>
  <c r="O11" i="12"/>
  <c r="O12" i="12"/>
  <c r="N5" i="12"/>
  <c r="N6" i="12"/>
  <c r="N7" i="12"/>
  <c r="O5" i="12"/>
  <c r="O6" i="12"/>
  <c r="O7" i="12"/>
  <c r="O2" i="12"/>
  <c r="O3" i="12"/>
  <c r="O4" i="12"/>
  <c r="N2" i="12"/>
  <c r="N3" i="12"/>
  <c r="N4" i="12"/>
  <c r="P2" i="12"/>
  <c r="P6" i="12"/>
  <c r="P10" i="12"/>
  <c r="S5" i="12"/>
  <c r="S11" i="12"/>
  <c r="S8" i="12"/>
  <c r="S9" i="12"/>
  <c r="S2" i="12"/>
  <c r="P8" i="12"/>
  <c r="P7" i="12"/>
  <c r="P3" i="12"/>
  <c r="P5" i="12"/>
  <c r="S3" i="12"/>
  <c r="P9" i="12"/>
  <c r="S6" i="12"/>
  <c r="P4" i="12"/>
  <c r="S7" i="12"/>
  <c r="P11" i="12"/>
  <c r="S10" i="12"/>
  <c r="S12" i="12"/>
  <c r="Q12" i="12" l="1" a="1"/>
  <c r="Q12" i="12" s="1"/>
  <c r="U12" i="12" s="1"/>
  <c r="Q7" i="12" a="1"/>
  <c r="Q7" i="12" s="1"/>
  <c r="U7" i="12" s="1"/>
  <c r="Q6" i="12" a="1"/>
  <c r="Q6" i="12" s="1"/>
  <c r="U6" i="12" s="1"/>
  <c r="Q11" i="12" a="1"/>
  <c r="Q11" i="12" s="1"/>
  <c r="U11" i="12" s="1"/>
  <c r="Q10" i="12" a="1"/>
  <c r="Q10" i="12" s="1"/>
  <c r="U10" i="12" s="1"/>
  <c r="Q5" i="12" a="1"/>
  <c r="Q5" i="12" s="1"/>
  <c r="U5" i="12" s="1"/>
  <c r="Q9" i="12" a="1"/>
  <c r="Q9" i="12" s="1"/>
  <c r="U9" i="12" s="1"/>
  <c r="Q4" i="12" a="1"/>
  <c r="Q4" i="12" s="1"/>
  <c r="Q8" i="12" a="1"/>
  <c r="Q8" i="12" s="1"/>
  <c r="U8" i="12" s="1"/>
  <c r="Q3" i="12" a="1"/>
  <c r="Q3" i="12" s="1"/>
  <c r="U3" i="12" s="1"/>
  <c r="Q2" i="12" a="1"/>
  <c r="Q2" i="12" s="1"/>
  <c r="U2" i="12" s="1"/>
  <c r="P12" i="12"/>
  <c r="T2" i="12"/>
  <c r="T12" i="12"/>
  <c r="T8" i="12"/>
  <c r="S4" i="12"/>
  <c r="T4" i="12"/>
  <c r="T3" i="12"/>
  <c r="T7" i="12"/>
  <c r="T11" i="12"/>
  <c r="T9" i="12"/>
  <c r="T6" i="12"/>
  <c r="T10" i="12"/>
  <c r="T5" i="12"/>
  <c r="U4" i="12" l="1"/>
  <c r="D34" i="18"/>
  <c r="D35" i="18"/>
  <c r="M2" i="17" l="1"/>
  <c r="N2" i="17" s="1"/>
  <c r="M3" i="17"/>
  <c r="N3" i="17" s="1"/>
  <c r="M4" i="17"/>
  <c r="N4" i="17" s="1"/>
  <c r="M5" i="17"/>
  <c r="N5" i="17" s="1"/>
  <c r="M6" i="17"/>
  <c r="N6" i="17" s="1"/>
  <c r="M7" i="17"/>
  <c r="N7" i="17" s="1"/>
  <c r="M8" i="17"/>
  <c r="N8" i="17" s="1"/>
  <c r="M11" i="17"/>
  <c r="N11" i="17" s="1"/>
  <c r="M12" i="17"/>
  <c r="N12" i="17" s="1"/>
  <c r="M13" i="17"/>
  <c r="N13" i="17" s="1"/>
  <c r="M14" i="17"/>
  <c r="N14" i="17" s="1"/>
  <c r="M15" i="17"/>
  <c r="N15" i="17" s="1"/>
  <c r="M16" i="17"/>
  <c r="N16" i="17" s="1"/>
  <c r="M18" i="17"/>
  <c r="N18" i="17" s="1"/>
  <c r="M19" i="17"/>
  <c r="N19" i="17" s="1"/>
  <c r="M20" i="17"/>
  <c r="N20" i="17" s="1"/>
  <c r="M22" i="17"/>
  <c r="N22" i="17" s="1"/>
  <c r="M23" i="17"/>
  <c r="N23" i="17" s="1"/>
  <c r="M24" i="17"/>
  <c r="N24" i="17" s="1"/>
  <c r="M25" i="17"/>
  <c r="N25" i="17" s="1"/>
  <c r="M27" i="17"/>
  <c r="N27" i="17" s="1"/>
  <c r="M28" i="17"/>
  <c r="N28" i="17" s="1"/>
  <c r="M29" i="17"/>
  <c r="N29" i="17" s="1"/>
  <c r="M30" i="17"/>
  <c r="N30" i="17" s="1"/>
  <c r="M31" i="17"/>
  <c r="N31" i="17" s="1"/>
  <c r="M32" i="17"/>
  <c r="N32" i="17" s="1"/>
  <c r="M33" i="17"/>
  <c r="N33" i="17" s="1"/>
  <c r="M34" i="17"/>
  <c r="N34" i="17" s="1"/>
  <c r="M35" i="17"/>
  <c r="N35" i="17" s="1"/>
  <c r="M37" i="17"/>
  <c r="N37" i="17" s="1"/>
  <c r="M38" i="17"/>
  <c r="N38" i="17" s="1"/>
  <c r="M39" i="17"/>
  <c r="N39" i="17" s="1"/>
  <c r="M40" i="17"/>
  <c r="N40" i="17" s="1"/>
  <c r="M41" i="17"/>
  <c r="N41" i="17" s="1"/>
  <c r="L2" i="17"/>
  <c r="L3" i="17"/>
  <c r="L4" i="17"/>
  <c r="L5" i="17"/>
  <c r="L6" i="17"/>
  <c r="L7" i="17"/>
  <c r="L8" i="17"/>
  <c r="L11" i="17"/>
  <c r="L12" i="17"/>
  <c r="L13" i="17"/>
  <c r="L14" i="17"/>
  <c r="L15" i="17"/>
  <c r="L16" i="17"/>
  <c r="L18" i="17"/>
  <c r="L19" i="17"/>
  <c r="L20" i="17"/>
  <c r="L22" i="17"/>
  <c r="L23" i="17"/>
  <c r="L24" i="17"/>
  <c r="L25" i="17"/>
  <c r="L27" i="17"/>
  <c r="L28" i="17"/>
  <c r="L29" i="17"/>
  <c r="L30" i="17"/>
  <c r="L31" i="17"/>
  <c r="L32" i="17"/>
  <c r="L33" i="17"/>
  <c r="L34" i="17"/>
  <c r="L35" i="17"/>
  <c r="L37" i="17"/>
  <c r="L38" i="17"/>
  <c r="L39" i="17"/>
  <c r="L40" i="17"/>
  <c r="L41" i="17"/>
  <c r="K2" i="17"/>
  <c r="K3" i="17"/>
  <c r="K4" i="17"/>
  <c r="K5" i="17"/>
  <c r="K6" i="17"/>
  <c r="K7" i="17"/>
  <c r="K8" i="17"/>
  <c r="K11" i="17"/>
  <c r="K12" i="17"/>
  <c r="K13" i="17"/>
  <c r="K14" i="17"/>
  <c r="K15" i="17"/>
  <c r="K16" i="17"/>
  <c r="K18" i="17"/>
  <c r="K19" i="17"/>
  <c r="K20" i="17"/>
  <c r="K22" i="17"/>
  <c r="K23" i="17"/>
  <c r="K24" i="17"/>
  <c r="K25" i="17"/>
  <c r="K27" i="17"/>
  <c r="K28" i="17"/>
  <c r="K29" i="17"/>
  <c r="K30" i="17"/>
  <c r="K31" i="17"/>
  <c r="K32" i="17"/>
  <c r="K33" i="17"/>
  <c r="K34" i="17"/>
  <c r="K35" i="17"/>
  <c r="K37" i="17"/>
  <c r="K38" i="17"/>
  <c r="K39" i="17"/>
  <c r="K40" i="17"/>
  <c r="K41" i="17"/>
  <c r="G32" i="14" l="1"/>
  <c r="G33" i="14"/>
  <c r="G34" i="14"/>
  <c r="G35" i="14"/>
  <c r="G36" i="14"/>
  <c r="G37" i="14"/>
  <c r="G38" i="14"/>
  <c r="G39" i="14"/>
  <c r="G31" i="14"/>
  <c r="E54" i="14"/>
  <c r="J30" i="18" l="1"/>
  <c r="K30" i="18"/>
  <c r="L30" i="18"/>
  <c r="I30" i="18"/>
  <c r="J31" i="18"/>
  <c r="I29" i="18"/>
  <c r="G29" i="18"/>
  <c r="K31" i="18"/>
  <c r="E29" i="18"/>
  <c r="I31" i="18"/>
  <c r="L31" i="18"/>
  <c r="J29" i="18"/>
  <c r="L29" i="18"/>
  <c r="F29" i="18"/>
  <c r="K29" i="18"/>
  <c r="H29" i="18"/>
  <c r="D29" i="18"/>
  <c r="L28" i="18" l="1"/>
  <c r="K28" i="18"/>
  <c r="N30" i="18" s="1"/>
  <c r="J28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Tien Khang</author>
  </authors>
  <commentList>
    <comment ref="D19" authorId="0" shapeId="0" xr:uid="{7FA39A01-D963-6E41-83E4-C55463A920D4}">
      <text>
        <r>
          <rPr>
            <sz val="10"/>
            <color rgb="FF000000"/>
            <rFont val="Tahoma"/>
            <family val="2"/>
          </rPr>
          <t xml:space="preserve">copied from old stats
</t>
        </r>
      </text>
    </comment>
    <comment ref="D20" authorId="0" shapeId="0" xr:uid="{C90DC6DD-E78E-8046-A74A-6527B433D893}">
      <text>
        <r>
          <rPr>
            <sz val="10"/>
            <color rgb="FF000000"/>
            <rFont val="Tahoma"/>
            <family val="2"/>
          </rPr>
          <t xml:space="preserve">copied from old stats
</t>
        </r>
      </text>
    </comment>
    <comment ref="D31" authorId="0" shapeId="0" xr:uid="{CAC68CC7-8199-5642-8CA8-CA4A4DDE4CAA}">
      <text>
        <r>
          <rPr>
            <sz val="10"/>
            <color rgb="FF000000"/>
            <rFont val="Tahoma"/>
            <family val="2"/>
          </rPr>
          <t xml:space="preserve">2018 was a transition year and all fuel costs have not been recorded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<sst xmlns="http://schemas.openxmlformats.org/spreadsheetml/2006/main" count="987" uniqueCount="445">
  <si>
    <t>Engine OVH, TBO 12y (2014)</t>
  </si>
  <si>
    <t>Date</t>
  </si>
  <si>
    <t>Assurance Allianz 2018 (taxe 4%)</t>
  </si>
  <si>
    <t>Hard landing: prepayment 2</t>
  </si>
  <si>
    <t>Assurance: Ristourne</t>
  </si>
  <si>
    <t>Invoice 2021470AMP of 6 December 2021</t>
  </si>
  <si>
    <t>Invoice TNC DAC of 7 Feb 2022</t>
  </si>
  <si>
    <t>Misc var: Taxes LuxAirport</t>
  </si>
  <si>
    <t>Avionics: Troubleshooring avionics ILS GTN650-NAV2</t>
  </si>
  <si>
    <t>Invoice LuxAirport of 24 Jun 2022</t>
  </si>
  <si>
    <t>GAM Invoice 2022173 of 21 Sept 2022</t>
  </si>
  <si>
    <t>Hangar: Octobre</t>
  </si>
  <si>
    <t>Misc. Fixed: Radeau sauvetage Lalizas, Friebe Flugbedarf</t>
  </si>
  <si>
    <t>Variable material: Huile en bidon x8</t>
  </si>
  <si>
    <t>Hébergement LX-ARA janvier à mai inclus</t>
  </si>
  <si>
    <t>GAM Invoice 2023081 of 3 Jun 2023 (CDN)</t>
  </si>
  <si>
    <t>Exceptional: Shipment Oxygen bottle empty</t>
  </si>
  <si>
    <t>F-Annual visit</t>
  </si>
  <si>
    <t>F-ARC &amp; CDN &amp; ILR</t>
  </si>
  <si>
    <t>F-Airworthiness dir.</t>
  </si>
  <si>
    <t>V-Oil &amp; misc matériel</t>
  </si>
  <si>
    <t>V-Visit 50h &amp; 100h</t>
  </si>
  <si>
    <t>V-AVGAS</t>
  </si>
  <si>
    <t>F-Refill.</t>
  </si>
  <si>
    <t>Invoice insurance 20180109 of 9 January 2018</t>
  </si>
  <si>
    <t>GAM Invoice 2018291 of 22 Oct 2018</t>
  </si>
  <si>
    <t>Handling Split 11/10/2018</t>
  </si>
  <si>
    <t>GAM Invoice 2018231AMP of 8 Nov 2018</t>
  </si>
  <si>
    <t>GAM Invoice 2023199 of 4 Avr 2024</t>
  </si>
  <si>
    <t>GAM Invoice 2018343 of 19 February 2019</t>
  </si>
  <si>
    <t>Overhaul: 02 bottle freight</t>
  </si>
  <si>
    <t>LuxFuel 4/02/2019</t>
  </si>
  <si>
    <t>GAM Invoice 2020093A of 16 June 2020</t>
  </si>
  <si>
    <t>GAM Invoice 2020296 of 7 January 2021</t>
  </si>
  <si>
    <t>Abonnement Jeppesen GTN650</t>
  </si>
  <si>
    <t>LuxFuel 16/04/2021</t>
  </si>
  <si>
    <t>LuxFuel mois février 28/2/2022</t>
  </si>
  <si>
    <t>LuxFuel mois juillet</t>
  </si>
  <si>
    <t>Taxes LuxAirport mai 2023</t>
  </si>
  <si>
    <t>LuxFuel mois mars</t>
  </si>
  <si>
    <t>F-Time limit-misc. structure</t>
  </si>
  <si>
    <t>F-Avionics</t>
  </si>
  <si>
    <t>Maintenance: Gasket</t>
  </si>
  <si>
    <t>Landing gear, non amorti</t>
  </si>
  <si>
    <t>Tracteur, radeau, gilets, masques O2, non amortis</t>
  </si>
  <si>
    <t>GAM Invoice 2024413 of 18 November2024</t>
  </si>
  <si>
    <t>Pitot line bend under panel, repair 1,5h</t>
  </si>
  <si>
    <t>Loyer hangar Luxairport jan-mar, moins contrib. LX-ARA</t>
  </si>
  <si>
    <t>GAM Invoice 2025060 of 27 May 2025</t>
  </si>
  <si>
    <t>Customer : Both rear Nav-Lights inop</t>
  </si>
  <si>
    <t>Hub hélice changé 2025 taraud abîmé, non amorti</t>
  </si>
  <si>
    <t>AEROSHELL 15W50 DRUM, 15W50 DRUM</t>
  </si>
  <si>
    <t>GAM Invoice 2019343 of 2 December 2019</t>
  </si>
  <si>
    <t>2 x Tubes</t>
  </si>
  <si>
    <t>GAM ARC renew &amp; redev. ILR, AMP</t>
  </si>
  <si>
    <t>aircraft mechanic time 0,25 h</t>
  </si>
  <si>
    <t>Hourly rate aircraft mechanic costs 1,25</t>
  </si>
  <si>
    <t>Hourly rate aircraft mechanic time 1 h</t>
  </si>
  <si>
    <t>Hourly rate Rudder Trim repair costs 6,5 h</t>
  </si>
  <si>
    <t>Hourly rate GTN inspect costs 0,25 h</t>
  </si>
  <si>
    <t>Brakes System hoses replace costs 7 h</t>
  </si>
  <si>
    <t>100h: Working hours costs 13,5</t>
  </si>
  <si>
    <t>AD: Airworthiness directive on Bendix ignition switch costs 3 h + 0,25 h</t>
  </si>
  <si>
    <t>Airspeed indicator test echanic costs 1,5 h</t>
  </si>
  <si>
    <t>Cigar Lighter placard replaced time 0,25 h</t>
  </si>
  <si>
    <t>Propeller OVH, TBO 5y (2014, -16, -18, -20, -25)</t>
  </si>
  <si>
    <t>Propeller OVH, TBO 6y (2025, -30)</t>
  </si>
  <si>
    <t>Engine tuyauteries, 6y (2017-24,-30)</t>
  </si>
  <si>
    <t>GTN650, 8y (2017)</t>
  </si>
  <si>
    <t>aircraft mechanic costs 2,5 h</t>
  </si>
  <si>
    <t>Taxes atterrissage Chambéry Oberkampf</t>
  </si>
  <si>
    <t>GAM Invoice 2025160 of 19 Sep reçue 29 Oct 2025</t>
  </si>
  <si>
    <t>ELT 406 annual Inspection work (fixed time)</t>
  </si>
  <si>
    <t>InvoiceName</t>
  </si>
  <si>
    <t>Category</t>
  </si>
  <si>
    <t>VATRate</t>
  </si>
  <si>
    <t>HTAmount</t>
  </si>
  <si>
    <t>VATAmount</t>
  </si>
  <si>
    <t>TTCAmount</t>
  </si>
  <si>
    <t>ExpenseName</t>
  </si>
  <si>
    <t>VAT_0</t>
  </si>
  <si>
    <t>VAT_4</t>
  </si>
  <si>
    <t>VAT_6</t>
  </si>
  <si>
    <t>VAT_15</t>
  </si>
  <si>
    <t>VAT_16</t>
  </si>
  <si>
    <t>VAT_17</t>
  </si>
  <si>
    <t>VAT_19</t>
  </si>
  <si>
    <t>VAT_20</t>
  </si>
  <si>
    <t>VAT_21</t>
  </si>
  <si>
    <t>VAT_22</t>
  </si>
  <si>
    <t>VATName</t>
  </si>
  <si>
    <t>VATValues</t>
  </si>
  <si>
    <t>Visits 50h, 100h and related misc equipment</t>
  </si>
  <si>
    <t>Spare oil and small misc equipment</t>
  </si>
  <si>
    <t>Landing fees, handling, parking</t>
  </si>
  <si>
    <t>F-Plane insurance</t>
  </si>
  <si>
    <t>Insurance premiums &amp; rebates</t>
  </si>
  <si>
    <t>"Annual inspection" without pieces</t>
  </si>
  <si>
    <t>Avionics, W&amp;B, GTN Jeppesen, bank fees</t>
  </si>
  <si>
    <t>F-Hangar rent &amp; insur.</t>
  </si>
  <si>
    <t>Costs related to hangar</t>
  </si>
  <si>
    <t>Small capex, extinguisher, 1st aid,…, airbrake, rudder trim</t>
  </si>
  <si>
    <t>Application of Airworthiness Directives</t>
  </si>
  <si>
    <t>Non oil Refills (O2, Hydraulics)</t>
  </si>
  <si>
    <t>Bottle oxygen (2023), 15y</t>
  </si>
  <si>
    <t>Ldg gear overload, Hard landing 2020, perpétuel</t>
  </si>
  <si>
    <t>Miscellaneous comfort &amp; safety 10 y</t>
  </si>
  <si>
    <t>occasional defect, perpetual</t>
  </si>
  <si>
    <t>ExpenseDescription</t>
  </si>
  <si>
    <t>Total</t>
  </si>
  <si>
    <t>Dominique</t>
  </si>
  <si>
    <t>Guy</t>
  </si>
  <si>
    <t>Jacques</t>
  </si>
  <si>
    <t>Maintenance</t>
  </si>
  <si>
    <t>Vu Tien</t>
  </si>
  <si>
    <t>External</t>
  </si>
  <si>
    <t>Guest</t>
  </si>
  <si>
    <t>Owner</t>
  </si>
  <si>
    <t>Year</t>
  </si>
  <si>
    <t>Shares of ownership converted to normalized Excel table</t>
  </si>
  <si>
    <t>ExpenseCategory</t>
  </si>
  <si>
    <t>PilotOwner</t>
  </si>
  <si>
    <t>PilotType</t>
  </si>
  <si>
    <t>DryPrice</t>
  </si>
  <si>
    <t>Dry Prices converted to normalized Excel table</t>
  </si>
  <si>
    <t>Share</t>
  </si>
  <si>
    <t>Row Labels</t>
  </si>
  <si>
    <t>Grand Total</t>
  </si>
  <si>
    <t>Column Labels</t>
  </si>
  <si>
    <t>Sum of TTCAmount</t>
  </si>
  <si>
    <t>Visit 50h 2024</t>
  </si>
  <si>
    <t>GAM Invoice 2017337A of 23 Apr 2018</t>
  </si>
  <si>
    <t>GAM Invoice 2019061 of 2 December 2019</t>
  </si>
  <si>
    <t>X-Bottle O2 change</t>
  </si>
  <si>
    <t>X-Change engine OVH</t>
  </si>
  <si>
    <t>X-OVH propeller governor</t>
  </si>
  <si>
    <t>X-Prop OVH</t>
  </si>
  <si>
    <t>X-OVH ducts</t>
  </si>
  <si>
    <t>X-GTN 650</t>
  </si>
  <si>
    <t>X-Landing gear replacement</t>
  </si>
  <si>
    <t>X-Change propeller hub</t>
  </si>
  <si>
    <t>V-Landing fees</t>
  </si>
  <si>
    <t>X-Raft, Life vests, masks O2</t>
  </si>
  <si>
    <t>volAVGAS_L</t>
  </si>
  <si>
    <t>Sum of volAVGAS_L</t>
  </si>
  <si>
    <t>Values</t>
  </si>
  <si>
    <t>ManHour</t>
  </si>
  <si>
    <t>CategoryGroup</t>
  </si>
  <si>
    <t>F</t>
  </si>
  <si>
    <t>V</t>
  </si>
  <si>
    <t>X</t>
  </si>
  <si>
    <t>Fixed expenses</t>
  </si>
  <si>
    <t>Exceptional expenses</t>
  </si>
  <si>
    <t>Fuel expenses (AVGAS)</t>
  </si>
  <si>
    <t>Fuel volume (L)</t>
  </si>
  <si>
    <t>Fuel €/L</t>
  </si>
  <si>
    <t>2018</t>
  </si>
  <si>
    <t>2019</t>
  </si>
  <si>
    <t>2020</t>
  </si>
  <si>
    <t>2021</t>
  </si>
  <si>
    <t>2022</t>
  </si>
  <si>
    <t>2023</t>
  </si>
  <si>
    <t>2024</t>
  </si>
  <si>
    <t>2025</t>
  </si>
  <si>
    <t>pvtExpensesByGroup</t>
  </si>
  <si>
    <t>Dashboard of expenses Mooney LX-JCO</t>
  </si>
  <si>
    <t>Year flight hours</t>
  </si>
  <si>
    <t>Total expenses + Fuel</t>
  </si>
  <si>
    <t>Variable expenses, except fuel</t>
  </si>
  <si>
    <t>Fixed expenses/flight hour</t>
  </si>
  <si>
    <t>Total expenses/flight hour</t>
  </si>
  <si>
    <t>Amortization in years</t>
  </si>
  <si>
    <t>Maintenance/flight hour</t>
  </si>
  <si>
    <t>PilotPaying</t>
  </si>
  <si>
    <t>Average Yearly Total expenses + Fuel</t>
  </si>
  <si>
    <t>Hobbs 1st January</t>
  </si>
  <si>
    <r>
      <t xml:space="preserve">Shares of ownership matrix </t>
    </r>
    <r>
      <rPr>
        <sz val="12"/>
        <color theme="1"/>
        <rFont val="Aptos Narrow"/>
        <scheme val="minor"/>
      </rPr>
      <t>(pilot list used for validation)</t>
    </r>
  </si>
  <si>
    <t>Loyer hangar Luxairport janvier</t>
  </si>
  <si>
    <t>2026</t>
  </si>
  <si>
    <t>Filler to start the year</t>
  </si>
  <si>
    <t>UnitPrice</t>
  </si>
  <si>
    <t>LuxFuel</t>
  </si>
  <si>
    <t>AirTotal</t>
  </si>
  <si>
    <t>AirBP</t>
  </si>
  <si>
    <t>VISA</t>
  </si>
  <si>
    <t>novembre LuxFuel</t>
  </si>
  <si>
    <t>AVGAS Aubenas LFHO</t>
  </si>
  <si>
    <t>AirBP Son Bonet</t>
  </si>
  <si>
    <t>AVGAS AirTotal Arcachon LFCH</t>
  </si>
  <si>
    <t>AVGAS Chambéry LFLB</t>
  </si>
  <si>
    <t>C-Pilot Contribution</t>
  </si>
  <si>
    <t>Pilot contribution to operations costs</t>
  </si>
  <si>
    <t>Monthly</t>
  </si>
  <si>
    <t>AVGAS Cannes VTK</t>
  </si>
  <si>
    <t>Contrib Lionel Mamane</t>
  </si>
  <si>
    <t>Avance &amp; HdV Sep 2022</t>
  </si>
  <si>
    <t>Hangar contrib LX-ARA</t>
  </si>
  <si>
    <t>Avance HdV jul 2023</t>
  </si>
  <si>
    <t>Avance sep 2023</t>
  </si>
  <si>
    <t>Handling Annecy</t>
  </si>
  <si>
    <t>Avance juin 2024</t>
  </si>
  <si>
    <t>Rembt GZ &gt; VTK Rothenburg</t>
  </si>
  <si>
    <t xml:space="preserve">Resto GCGD </t>
  </si>
  <si>
    <t>Avance avr 2025</t>
  </si>
  <si>
    <t>Avance septembre 2025</t>
  </si>
  <si>
    <t>Avance janvier 2026</t>
  </si>
  <si>
    <t>Variable expenses + Fuel</t>
  </si>
  <si>
    <t>F-Labor (m-h)</t>
  </si>
  <si>
    <t>Maintenance &amp; Management Man-hours</t>
  </si>
  <si>
    <t>Maintenance Management labor 3 h</t>
  </si>
  <si>
    <t>Sum of ManHour</t>
  </si>
  <si>
    <t>pvtLabor</t>
  </si>
  <si>
    <t>(Var. exp. + Fuel)/ (Total+Fuel)</t>
  </si>
  <si>
    <t>Fixed / (total+fuel)</t>
  </si>
  <si>
    <t>Maintenance Labor m-h</t>
  </si>
  <si>
    <t>Additional KPI data</t>
  </si>
  <si>
    <t>AmountOut</t>
  </si>
  <si>
    <t>Sum of AmountOut</t>
  </si>
  <si>
    <t>Column1</t>
  </si>
  <si>
    <t>FundSource</t>
  </si>
  <si>
    <t>CommonPot</t>
  </si>
  <si>
    <t>PilotFund</t>
  </si>
  <si>
    <t>Contrib</t>
  </si>
  <si>
    <t>AmountIn</t>
  </si>
  <si>
    <t>Valid categories for sheet Flights</t>
  </si>
  <si>
    <t>Valid AVGAS Providers</t>
  </si>
  <si>
    <t>Valid VAT values</t>
  </si>
  <si>
    <t>AVGAS</t>
  </si>
  <si>
    <t>Log</t>
  </si>
  <si>
    <t>Valid Fund Sources</t>
  </si>
  <si>
    <t>DepTime</t>
  </si>
  <si>
    <t>ArrTime</t>
  </si>
  <si>
    <t>DepHobbs</t>
  </si>
  <si>
    <t>ArrHobbs</t>
  </si>
  <si>
    <t>FuelProvider</t>
  </si>
  <si>
    <t>LogDescription</t>
  </si>
  <si>
    <t>PriceType</t>
  </si>
  <si>
    <t>PilotFlying</t>
  </si>
  <si>
    <t>ELLX</t>
  </si>
  <si>
    <t>LFJL</t>
  </si>
  <si>
    <t>LFSN</t>
  </si>
  <si>
    <t>LFJY</t>
  </si>
  <si>
    <t>Guy Training Mooney, owner price agreed</t>
  </si>
  <si>
    <t>FlRule</t>
  </si>
  <si>
    <t>IFR</t>
  </si>
  <si>
    <t>Valid Flight Rules</t>
  </si>
  <si>
    <t>VFR</t>
  </si>
  <si>
    <r>
      <t>Dry Prices matrix</t>
    </r>
    <r>
      <rPr>
        <sz val="12"/>
        <color theme="1"/>
        <rFont val="Aptos Narrow"/>
        <scheme val="minor"/>
      </rPr>
      <t xml:space="preserve"> (Type list used for validation)</t>
    </r>
  </si>
  <si>
    <t>VFR check avec Jos</t>
  </si>
  <si>
    <t>Cross-country LFJL-ELLX</t>
  </si>
  <si>
    <t>LFAB</t>
  </si>
  <si>
    <t>VuTien training IFR</t>
  </si>
  <si>
    <t>VuTien check-flight IFR</t>
  </si>
  <si>
    <t>Yankee</t>
  </si>
  <si>
    <t>Zulu</t>
  </si>
  <si>
    <t>50 heures</t>
  </si>
  <si>
    <t>Déjeuner Nancy Essey</t>
  </si>
  <si>
    <t>Dieppe</t>
  </si>
  <si>
    <t>LFLP</t>
  </si>
  <si>
    <t>Fundsource</t>
  </si>
  <si>
    <t>Description</t>
  </si>
  <si>
    <t>Average yearly fixed costs over the whole period</t>
  </si>
  <si>
    <t>Sum of AmountIn</t>
  </si>
  <si>
    <t>DepPlace</t>
  </si>
  <si>
    <t>ArrPlace</t>
  </si>
  <si>
    <t>LFMU</t>
  </si>
  <si>
    <t>LEMU</t>
  </si>
  <si>
    <t>LJPZ</t>
  </si>
  <si>
    <t>LFEL</t>
  </si>
  <si>
    <t>LFMA</t>
  </si>
  <si>
    <t>Practice with Champeval</t>
  </si>
  <si>
    <t>Chambley with Guy</t>
  </si>
  <si>
    <t>Check avec Champeval</t>
  </si>
  <si>
    <t>Overhaul Magnétos</t>
  </si>
  <si>
    <t>Alicante Mutxamel</t>
  </si>
  <si>
    <t>Portoroz Luxembourg</t>
  </si>
  <si>
    <t>Annecy Nadia</t>
  </si>
  <si>
    <t>Practice Lorraine nuit</t>
  </si>
  <si>
    <t>Le Blanc Journée Portes Ouvertes</t>
  </si>
  <si>
    <t>Aix-en-Provence Olivier &amp; Ludivine</t>
  </si>
  <si>
    <t>Shares of costs among pilots</t>
  </si>
  <si>
    <t>Fuel costs/flight hour</t>
  </si>
  <si>
    <t>Dry price for externals=Total expenses/flight hour - Fuel costs / flight hour</t>
  </si>
  <si>
    <t>In sheet Params,</t>
  </si>
  <si>
    <t>Flight costs shares</t>
  </si>
  <si>
    <t>Expenses shares among owners</t>
  </si>
  <si>
    <t>Contributions of pilots</t>
  </si>
  <si>
    <t>Balance of pilots = Contributions - Flight costs - Expenses</t>
  </si>
  <si>
    <t>Hobbs end period</t>
  </si>
  <si>
    <t>Placeholder 2026</t>
  </si>
  <si>
    <t>Flight durations recorded in sheet "Flights"</t>
  </si>
  <si>
    <t>(Variable expenses + Fuel ) / flight hour</t>
  </si>
  <si>
    <t>Average monthly fixed costs over 2018-2026</t>
  </si>
  <si>
    <t>1. Primary Data Entry</t>
  </si>
  <si>
    <r>
      <t>Input </t>
    </r>
    <r>
      <rPr>
        <b/>
        <sz val="12"/>
        <color rgb="FF000000"/>
        <rFont val="Aptos Narrow"/>
        <family val="2"/>
        <scheme val="minor"/>
      </rPr>
      <t>HTAmount</t>
    </r>
    <r>
      <rPr>
        <sz val="12"/>
        <color rgb="FF000000"/>
        <rFont val="Aptos Narrow"/>
        <family val="2"/>
        <scheme val="minor"/>
      </rPr>
      <t> (Net) and </t>
    </r>
    <r>
      <rPr>
        <b/>
        <sz val="12"/>
        <color rgb="FF000000"/>
        <rFont val="Aptos Narrow"/>
        <family val="2"/>
        <scheme val="minor"/>
      </rPr>
      <t>VATRate</t>
    </r>
    <r>
      <rPr>
        <sz val="12"/>
        <color rgb="FF000000"/>
        <rFont val="Aptos Narrow"/>
        <family val="2"/>
        <scheme val="minor"/>
      </rPr>
      <t>; the sheet calculates </t>
    </r>
    <r>
      <rPr>
        <b/>
        <sz val="12"/>
        <color rgb="FF000000"/>
        <rFont val="Aptos Narrow"/>
        <family val="2"/>
        <scheme val="minor"/>
      </rPr>
      <t>AmountOut</t>
    </r>
    <r>
      <rPr>
        <sz val="12"/>
        <color rgb="FF000000"/>
        <rFont val="Aptos Narrow"/>
        <family val="2"/>
        <scheme val="minor"/>
      </rPr>
      <t> (Total).</t>
    </r>
  </si>
  <si>
    <r>
      <t>Record </t>
    </r>
    <r>
      <rPr>
        <b/>
        <sz val="12"/>
        <color rgb="FF000000"/>
        <rFont val="Aptos Narrow"/>
        <family val="2"/>
        <scheme val="minor"/>
      </rPr>
      <t>ManHours</t>
    </r>
    <r>
      <rPr>
        <sz val="12"/>
        <color rgb="FF000000"/>
        <rFont val="Aptos Narrow"/>
        <family val="2"/>
        <scheme val="minor"/>
      </rPr>
      <t> for labor-related entries to track maintenance history.</t>
    </r>
  </si>
  <si>
    <r>
      <t>New Pilot:</t>
    </r>
    <r>
      <rPr>
        <sz val="12"/>
        <color rgb="FF000000"/>
        <rFont val="Aptos Narrow"/>
        <family val="2"/>
        <scheme val="minor"/>
      </rPr>
      <t> Add the name to the </t>
    </r>
    <r>
      <rPr>
        <b/>
        <sz val="12"/>
        <color rgb="FF000000"/>
        <rFont val="Aptos Narrow"/>
        <family val="2"/>
        <scheme val="minor"/>
      </rPr>
      <t>Params</t>
    </r>
    <r>
      <rPr>
        <sz val="12"/>
        <color rgb="FF000000"/>
        <rFont val="Aptos Narrow"/>
        <family val="2"/>
        <scheme val="minor"/>
      </rPr>
      <t> sheet first. Ensure the name is then added manually to the Dashboard balance area (</t>
    </r>
    <r>
      <rPr>
        <b/>
        <sz val="12"/>
        <color rgb="FF000000"/>
        <rFont val="Aptos Narrow"/>
        <family val="2"/>
        <scheme val="minor"/>
      </rPr>
      <t>S34:Z39</t>
    </r>
    <r>
      <rPr>
        <sz val="12"/>
        <color rgb="FF000000"/>
        <rFont val="Aptos Narrow"/>
        <family val="2"/>
        <scheme val="minor"/>
      </rPr>
      <t>) with formulas copied down.</t>
    </r>
  </si>
  <si>
    <r>
      <t>New Year Rollover:</t>
    </r>
    <r>
      <rPr>
        <sz val="12"/>
        <color rgb="FF000000"/>
        <rFont val="Aptos Narrow"/>
        <family val="2"/>
        <scheme val="minor"/>
      </rPr>
      <t> * Ensure the </t>
    </r>
    <r>
      <rPr>
        <b/>
        <sz val="12"/>
        <color rgb="FF000000"/>
        <rFont val="Aptos Narrow"/>
        <family val="2"/>
        <scheme val="minor"/>
      </rPr>
      <t>Year</t>
    </r>
    <r>
      <rPr>
        <sz val="12"/>
        <color rgb="FF000000"/>
        <rFont val="Aptos Narrow"/>
        <family val="2"/>
        <scheme val="minor"/>
      </rPr>
      <t> column in all sheets correctly reflects the new date.</t>
    </r>
  </si>
  <si>
    <t>3. Reading the Dashboard Balance</t>
  </si>
  <si>
    <r>
      <t>The area </t>
    </r>
    <r>
      <rPr>
        <b/>
        <sz val="12"/>
        <color rgb="FF000000"/>
        <rFont val="Aptos Narrow"/>
        <family val="2"/>
        <scheme val="minor"/>
      </rPr>
      <t>Dashboard!S34:Z39</t>
    </r>
    <r>
      <rPr>
        <sz val="12"/>
        <color rgb="FF000000"/>
        <rFont val="Aptos Narrow"/>
        <family val="2"/>
        <scheme val="minor"/>
      </rPr>
      <t> calculates: </t>
    </r>
    <r>
      <rPr>
        <sz val="10"/>
        <color rgb="FF000000"/>
        <rFont val="Arial Unicode MS"/>
        <family val="2"/>
      </rPr>
      <t>Contributions - (Flight Costs + Expense Shares)</t>
    </r>
    <r>
      <rPr>
        <sz val="12"/>
        <color rgb="FF000000"/>
        <rFont val="Aptos Narrow"/>
        <family val="2"/>
        <scheme val="minor"/>
      </rPr>
      <t>.</t>
    </r>
  </si>
  <si>
    <r>
      <t>Positive (Black):</t>
    </r>
    <r>
      <rPr>
        <sz val="12"/>
        <color rgb="FF000000"/>
        <rFont val="Aptos Narrow"/>
        <family val="2"/>
        <scheme val="minor"/>
      </rPr>
      <t> The pilot is in credit (has overpaid/contributed more than used).</t>
    </r>
  </si>
  <si>
    <r>
      <t>Negative (Red):</t>
    </r>
    <r>
      <rPr>
        <sz val="12"/>
        <color rgb="FF000000"/>
        <rFont val="Aptos Narrow"/>
        <family val="2"/>
        <scheme val="minor"/>
      </rPr>
      <t> The pilot is in debt and owes a contribution to the group.</t>
    </r>
  </si>
  <si>
    <r>
      <t>Sheet Contribs:</t>
    </r>
    <r>
      <rPr>
        <sz val="12"/>
        <color rgb="FF000000"/>
        <rFont val="Aptos Narrow"/>
        <family val="2"/>
        <scheme val="minor"/>
      </rPr>
      <t> Record all cash transfers to the aircraft fund.</t>
    </r>
  </si>
  <si>
    <t>Input negative value for a receivable</t>
  </si>
  <si>
    <t>Operating costs of Mooney LX-JCO</t>
  </si>
  <si>
    <t xml:space="preserve">This guide outlines the workflow for tracking aircraft expenses, flight logs, and pilot contributions. </t>
  </si>
  <si>
    <t>pvtFuel</t>
  </si>
  <si>
    <t>pvtTripCosts</t>
  </si>
  <si>
    <t>pvtContribs</t>
  </si>
  <si>
    <t>Fuel consumption(l) / flight hour</t>
  </si>
  <si>
    <t>pvtTrips</t>
  </si>
  <si>
    <t>CTripVolFuel</t>
  </si>
  <si>
    <t>CTripHobbs</t>
  </si>
  <si>
    <t>CHDryPrice</t>
  </si>
  <si>
    <t>CHourVCost</t>
  </si>
  <si>
    <t>CHFuelCostLast</t>
  </si>
  <si>
    <t>TripPrice2</t>
  </si>
  <si>
    <t>Sum of CTripHobbs</t>
  </si>
  <si>
    <t>TripPriceLegac</t>
  </si>
  <si>
    <t>Sum of TripPriceLegac</t>
  </si>
  <si>
    <t>Accurate data entry in the four data entry sheets is essential for the Dashboard to reflect the true financial balance for each member.</t>
  </si>
  <si>
    <r>
      <t>Sheet Expenses:</t>
    </r>
    <r>
      <rPr>
        <sz val="12"/>
        <color rgb="FF000000"/>
        <rFont val="Aptos Narrow"/>
        <family val="2"/>
        <scheme val="minor"/>
      </rPr>
      <t> Record all maintenance and fixed costs.</t>
    </r>
    <r>
      <rPr>
        <b/>
        <sz val="12"/>
        <color rgb="FF000000"/>
        <rFont val="Aptos Narrow"/>
        <family val="2"/>
        <scheme val="minor"/>
      </rPr>
      <t xml:space="preserve"> Fill after you pay an invoice or collect a receivable.</t>
    </r>
  </si>
  <si>
    <r>
      <t xml:space="preserve">Input </t>
    </r>
    <r>
      <rPr>
        <b/>
        <sz val="12"/>
        <color rgb="FF000000"/>
        <rFont val="Aptos Narrow"/>
        <family val="2"/>
        <scheme val="minor"/>
      </rPr>
      <t>Date</t>
    </r>
    <r>
      <rPr>
        <sz val="12"/>
        <color rgb="FF000000"/>
        <rFont val="Aptos Narrow"/>
        <family val="2"/>
        <scheme val="minor"/>
      </rPr>
      <t>, </t>
    </r>
    <r>
      <rPr>
        <b/>
        <sz val="12"/>
        <color rgb="FF000000"/>
        <rFont val="Aptos Narrow"/>
        <family val="2"/>
        <scheme val="minor"/>
      </rPr>
      <t>Category</t>
    </r>
    <r>
      <rPr>
        <sz val="12"/>
        <color rgb="FF000000"/>
        <rFont val="Aptos Narrow"/>
        <family val="2"/>
        <scheme val="minor"/>
      </rPr>
      <t> (e.g., F-Annual visit), and FundSource.</t>
    </r>
  </si>
  <si>
    <r>
      <t>Sheet Flights:</t>
    </r>
    <r>
      <rPr>
        <sz val="12"/>
        <color rgb="FF000000"/>
        <rFont val="Aptos Narrow"/>
        <family val="2"/>
        <scheme val="minor"/>
      </rPr>
      <t> Records flight logs.</t>
    </r>
    <r>
      <rPr>
        <b/>
        <sz val="12"/>
        <color rgb="FF000000"/>
        <rFont val="Aptos Narrow"/>
        <family val="2"/>
        <scheme val="minor"/>
      </rPr>
      <t xml:space="preserve"> Fill after a flight</t>
    </r>
  </si>
  <si>
    <r>
      <t>Sheet AVGAS:</t>
    </r>
    <r>
      <rPr>
        <sz val="12"/>
        <color rgb="FF000000"/>
        <rFont val="Aptos Narrow"/>
        <family val="2"/>
        <scheme val="minor"/>
      </rPr>
      <t> Records refueling activity.</t>
    </r>
    <r>
      <rPr>
        <b/>
        <sz val="12"/>
        <color rgb="FF000000"/>
        <rFont val="Aptos Narrow"/>
        <family val="2"/>
        <scheme val="minor"/>
      </rPr>
      <t xml:space="preserve"> Fill after a refuel</t>
    </r>
  </si>
  <si>
    <r>
      <t xml:space="preserve">Click outside the table; use the handle at bottom right to </t>
    </r>
    <r>
      <rPr>
        <b/>
        <sz val="12"/>
        <color rgb="FF000000"/>
        <rFont val="Aptos Narrow"/>
        <scheme val="minor"/>
      </rPr>
      <t>add more rows</t>
    </r>
    <r>
      <rPr>
        <sz val="12"/>
        <color rgb="FF000000"/>
        <rFont val="Aptos Narrow"/>
        <family val="2"/>
        <scheme val="minor"/>
      </rPr>
      <t xml:space="preserve"> to the table</t>
    </r>
  </si>
  <si>
    <r>
      <t>Refueling:</t>
    </r>
    <r>
      <rPr>
        <sz val="12"/>
        <color rgb="FF000000"/>
        <rFont val="Aptos Narrow"/>
        <family val="2"/>
        <scheme val="minor"/>
      </rPr>
      <t> Set Category to </t>
    </r>
    <r>
      <rPr>
        <b/>
        <sz val="12"/>
        <color rgb="FF000000"/>
        <rFont val="Aptos Narrow"/>
        <family val="2"/>
        <scheme val="minor"/>
      </rPr>
      <t>AVGAS</t>
    </r>
    <r>
      <rPr>
        <sz val="12"/>
        <color rgb="FF000000"/>
        <rFont val="Aptos Narrow"/>
        <family val="2"/>
        <scheme val="minor"/>
      </rPr>
      <t>, enter </t>
    </r>
    <r>
      <rPr>
        <b/>
        <sz val="12"/>
        <color rgb="FF000000"/>
        <rFont val="Aptos Narrow"/>
        <scheme val="minor"/>
      </rPr>
      <t>FundSource</t>
    </r>
    <r>
      <rPr>
        <sz val="12"/>
        <color rgb="FF000000"/>
        <rFont val="Aptos Narrow"/>
        <family val="2"/>
        <scheme val="minor"/>
      </rPr>
      <t xml:space="preserve">, </t>
    </r>
    <r>
      <rPr>
        <b/>
        <sz val="12"/>
        <color rgb="FF000000"/>
        <rFont val="Aptos Narrow"/>
        <family val="2"/>
        <scheme val="minor"/>
      </rPr>
      <t>TTCAmount</t>
    </r>
    <r>
      <rPr>
        <sz val="12"/>
        <color rgb="FF000000"/>
        <rFont val="Aptos Narrow"/>
        <family val="2"/>
        <scheme val="minor"/>
      </rPr>
      <t>, </t>
    </r>
    <r>
      <rPr>
        <b/>
        <sz val="12"/>
        <color rgb="FF000000"/>
        <rFont val="Aptos Narrow"/>
        <family val="2"/>
        <scheme val="minor"/>
      </rPr>
      <t>volAVGAS</t>
    </r>
    <r>
      <rPr>
        <sz val="12"/>
        <color rgb="FF000000"/>
        <rFont val="Aptos Narrow"/>
        <family val="2"/>
        <scheme val="minor"/>
      </rPr>
      <t>.</t>
    </r>
  </si>
  <si>
    <r>
      <t>Log:</t>
    </r>
    <r>
      <rPr>
        <sz val="12"/>
        <color rgb="FF000000"/>
        <rFont val="Aptos Narrow"/>
        <family val="2"/>
        <scheme val="minor"/>
      </rPr>
      <t> Enter </t>
    </r>
    <r>
      <rPr>
        <b/>
        <sz val="12"/>
        <color rgb="FF000000"/>
        <rFont val="Aptos Narrow"/>
        <family val="2"/>
        <scheme val="minor"/>
      </rPr>
      <t>Date, Dep/Arr Hobbs</t>
    </r>
    <r>
      <rPr>
        <sz val="12"/>
        <color rgb="FF000000"/>
        <rFont val="Aptos Narrow"/>
        <family val="2"/>
        <scheme val="minor"/>
      </rPr>
      <t> (to calculate </t>
    </r>
    <r>
      <rPr>
        <b/>
        <sz val="12"/>
        <color rgb="FF000000"/>
        <rFont val="Aptos Narrow"/>
        <family val="2"/>
        <scheme val="minor"/>
      </rPr>
      <t>TripHobbs</t>
    </r>
    <r>
      <rPr>
        <sz val="12"/>
        <color rgb="FF000000"/>
        <rFont val="Aptos Narrow"/>
        <family val="2"/>
        <scheme val="minor"/>
      </rPr>
      <t xml:space="preserve">), </t>
    </r>
    <r>
      <rPr>
        <b/>
        <sz val="12"/>
        <color rgb="FF000000"/>
        <rFont val="Aptos Narrow"/>
        <scheme val="minor"/>
      </rPr>
      <t>FundSource</t>
    </r>
    <r>
      <rPr>
        <sz val="12"/>
        <color rgb="FF000000"/>
        <rFont val="Aptos Narrow"/>
        <family val="2"/>
        <scheme val="minor"/>
      </rPr>
      <t xml:space="preserve"> and </t>
    </r>
    <r>
      <rPr>
        <b/>
        <sz val="12"/>
        <color rgb="FF000000"/>
        <rFont val="Aptos Narrow"/>
        <family val="2"/>
        <scheme val="minor"/>
      </rPr>
      <t>PriceType</t>
    </r>
    <r>
      <rPr>
        <sz val="12"/>
        <color rgb="FF000000"/>
        <rFont val="Aptos Narrow"/>
        <family val="2"/>
        <scheme val="minor"/>
      </rPr>
      <t> (Owner/Guest).</t>
    </r>
  </si>
  <si>
    <r>
      <t>Use </t>
    </r>
    <r>
      <rPr>
        <b/>
        <sz val="12"/>
        <color rgb="FF000000"/>
        <rFont val="Aptos Narrow"/>
        <family val="2"/>
        <scheme val="minor"/>
      </rPr>
      <t>CommonPot</t>
    </r>
    <r>
      <rPr>
        <sz val="12"/>
        <color rgb="FF000000"/>
        <rFont val="Aptos Narrow"/>
        <family val="2"/>
        <scheme val="minor"/>
      </rPr>
      <t xml:space="preserve"> for </t>
    </r>
    <r>
      <rPr>
        <sz val="12"/>
        <color rgb="FF000000"/>
        <rFont val="Aptos Narrow (Body)"/>
      </rPr>
      <t>FundSource </t>
    </r>
    <r>
      <rPr>
        <sz val="12"/>
        <color rgb="FF000000"/>
        <rFont val="Aptos Narrow"/>
        <family val="2"/>
        <scheme val="minor"/>
      </rPr>
      <t>if fuel was paid via the aircraft's collective account.</t>
    </r>
  </si>
  <si>
    <r>
      <t>Enter </t>
    </r>
    <r>
      <rPr>
        <b/>
        <sz val="12"/>
        <color rgb="FF000000"/>
        <rFont val="Aptos Narrow"/>
        <family val="2"/>
        <scheme val="minor"/>
      </rPr>
      <t>Date</t>
    </r>
    <r>
      <rPr>
        <sz val="12"/>
        <color rgb="FF000000"/>
        <rFont val="Aptos Narrow"/>
        <family val="2"/>
        <scheme val="minor"/>
      </rPr>
      <t>, </t>
    </r>
    <r>
      <rPr>
        <b/>
        <sz val="12"/>
        <color rgb="FF000000"/>
        <rFont val="Aptos Narrow"/>
        <family val="2"/>
        <scheme val="minor"/>
      </rPr>
      <t>FundSource</t>
    </r>
    <r>
      <rPr>
        <sz val="12"/>
        <color rgb="FF000000"/>
        <rFont val="Aptos Narrow"/>
        <family val="2"/>
        <scheme val="minor"/>
      </rPr>
      <t> (Pilot Name), </t>
    </r>
    <r>
      <rPr>
        <b/>
        <sz val="12"/>
        <color rgb="FF000000"/>
        <rFont val="Aptos Narrow"/>
        <family val="2"/>
        <scheme val="minor"/>
      </rPr>
      <t>AmountIn</t>
    </r>
    <r>
      <rPr>
        <sz val="12"/>
        <color rgb="FF000000"/>
        <rFont val="Aptos Narrow"/>
        <family val="2"/>
        <scheme val="minor"/>
      </rPr>
      <t>.</t>
    </r>
  </si>
  <si>
    <t>2. Worksheet &amp; Formulas Updates (only if you understand well Excel coding)</t>
  </si>
  <si>
    <r>
      <t>Refresh Statistics:</t>
    </r>
    <r>
      <rPr>
        <sz val="12"/>
        <color rgb="FF000000"/>
        <rFont val="Aptos Narrow"/>
        <family val="2"/>
        <scheme val="minor"/>
      </rPr>
      <t> After any data entry or table resizing, go to the </t>
    </r>
    <r>
      <rPr>
        <b/>
        <sz val="12"/>
        <color rgb="FF000000"/>
        <rFont val="Aptos Narrow"/>
        <family val="2"/>
        <scheme val="minor"/>
      </rPr>
      <t>Pivots</t>
    </r>
    <r>
      <rPr>
        <sz val="12"/>
        <color rgb="FF000000"/>
        <rFont val="Aptos Narrow"/>
        <family val="2"/>
        <scheme val="minor"/>
      </rPr>
      <t> sheet, right-click any pivot table, and select </t>
    </r>
    <r>
      <rPr>
        <b/>
        <sz val="12"/>
        <color rgb="FF000000"/>
        <rFont val="Aptos Narrow"/>
        <scheme val="minor"/>
      </rPr>
      <t>Refresh All</t>
    </r>
    <r>
      <rPr>
        <sz val="12"/>
        <color rgb="FF000000"/>
        <rFont val="Aptos Narrow"/>
        <family val="2"/>
        <scheme val="minor"/>
      </rPr>
      <t xml:space="preserve"> to update the Dashboard.</t>
    </r>
  </si>
  <si>
    <r>
      <t xml:space="preserve">Create a "Filler" entry in all 4 data entry sheet with 0,01 AVGAS, </t>
    </r>
    <r>
      <rPr>
        <b/>
        <sz val="12"/>
        <color rgb="FF000000"/>
        <rFont val="Aptos Narrow"/>
        <family val="2"/>
        <scheme val="minor"/>
      </rPr>
      <t>0,01</t>
    </r>
    <r>
      <rPr>
        <sz val="12"/>
        <color rgb="FF000000"/>
        <rFont val="Aptos Narrow"/>
        <family val="2"/>
        <scheme val="minor"/>
      </rPr>
      <t> Hobbs, 0,01 contribution and expense to initialize the year in Pivot tables.</t>
    </r>
  </si>
  <si>
    <r>
      <t xml:space="preserve">Update the row </t>
    </r>
    <r>
      <rPr>
        <b/>
        <sz val="12"/>
        <color rgb="FF000000"/>
        <rFont val="Aptos Narrow"/>
        <family val="2"/>
        <scheme val="minor"/>
      </rPr>
      <t>Hobbs 1st January</t>
    </r>
    <r>
      <rPr>
        <sz val="12"/>
        <color rgb="FF000000"/>
        <rFont val="Aptos Narrow"/>
        <family val="2"/>
        <scheme val="minor"/>
      </rPr>
      <t> in the Dashboard KPIs to start with the previous year's closing Hobbs.</t>
    </r>
  </si>
  <si>
    <t>The important value is the sum along all years of a pilot</t>
  </si>
  <si>
    <r>
      <t>CommonPot Balance:</t>
    </r>
    <r>
      <rPr>
        <sz val="12"/>
        <color rgb="FF000000"/>
        <rFont val="Aptos Narrow"/>
        <family val="2"/>
        <scheme val="minor"/>
      </rPr>
      <t> Represents the remaining liquidity or deficit in the collective aircraft fund.</t>
    </r>
    <r>
      <rPr>
        <b/>
        <sz val="12"/>
        <color rgb="FF000000"/>
        <rFont val="Aptos Narrow"/>
        <family val="2"/>
        <scheme val="minor"/>
      </rPr>
      <t xml:space="preserve"> It is mostly the contribution of the hangar</t>
    </r>
  </si>
  <si>
    <t>pvtExpensesByCategory</t>
  </si>
  <si>
    <t>Remain before visit</t>
  </si>
  <si>
    <t>Vitesse moyenne AIZ, logs SkyDemon</t>
  </si>
  <si>
    <t>Vitesse moyenne ULI, logs SkyDemon</t>
  </si>
  <si>
    <t>Vitesse moyenne AIX, logs SkyDemon</t>
  </si>
  <si>
    <t>Vitesse moyenne JCO, logs SkyDemon</t>
  </si>
  <si>
    <t>moyenne=</t>
  </si>
  <si>
    <t>ELLX-LFQW</t>
  </si>
  <si>
    <t>ELLX-ELLX</t>
  </si>
  <si>
    <t>LFJL-ELLX</t>
  </si>
  <si>
    <t>LFLB-ELLX</t>
  </si>
  <si>
    <t>LFQW-LFLP</t>
  </si>
  <si>
    <t>ELLX-LFJL</t>
  </si>
  <si>
    <t>LFMP-LFLY</t>
  </si>
  <si>
    <t>LFLP-LFEV</t>
  </si>
  <si>
    <t>LFRV-ELLX</t>
  </si>
  <si>
    <t>ELLX-LFMP</t>
  </si>
  <si>
    <t>LFEV-ELLX</t>
  </si>
  <si>
    <t>LFRS-LFRV</t>
  </si>
  <si>
    <t>ELLX-EDRG</t>
  </si>
  <si>
    <t>LFMA-ELLX</t>
  </si>
  <si>
    <t>LFEA-LFRS</t>
  </si>
  <si>
    <t>EDRG-ELLX</t>
  </si>
  <si>
    <t>ELLX-LFMA</t>
  </si>
  <si>
    <t>ELLX-LFRV</t>
  </si>
  <si>
    <t>LFHV-ELLX</t>
  </si>
  <si>
    <t>ELLX-LFHV</t>
  </si>
  <si>
    <t>LOWS-ELLX</t>
  </si>
  <si>
    <t>LJPZ-ELLX</t>
  </si>
  <si>
    <t>LDZD-LOWS</t>
  </si>
  <si>
    <t>ELLX-LJPZ</t>
  </si>
  <si>
    <t>LOWL-LDZD</t>
  </si>
  <si>
    <t>ELLX-LOWL</t>
  </si>
  <si>
    <t>ELLX-LFLB</t>
  </si>
  <si>
    <t>LFCL-ELLX</t>
  </si>
  <si>
    <t>ELLX-LFCL</t>
  </si>
  <si>
    <t>LFCH-ELLX</t>
  </si>
  <si>
    <t>ELLX-LFCH</t>
  </si>
  <si>
    <t>LFMP-LFHV</t>
  </si>
  <si>
    <t>LFHV-LFMP</t>
  </si>
  <si>
    <t>LFHO-ELLX</t>
  </si>
  <si>
    <t>ELLX-LFHO</t>
  </si>
  <si>
    <t>LFEL-ELLX</t>
  </si>
  <si>
    <t>ELLX-LFEL</t>
  </si>
  <si>
    <t>LFMU-ELLX</t>
  </si>
  <si>
    <t>LEMU-LFMU</t>
  </si>
  <si>
    <t>LFMP-LEMU</t>
  </si>
  <si>
    <t>LFLP-ELLX</t>
  </si>
  <si>
    <t>ELLX-LFLP</t>
  </si>
  <si>
    <t>EHSE-ELLX</t>
  </si>
  <si>
    <t>ELLX-EHSE</t>
  </si>
  <si>
    <t>EDFR-ELLX</t>
  </si>
  <si>
    <t>ELLX-EDFR</t>
  </si>
  <si>
    <t>LESB-LFLB</t>
  </si>
  <si>
    <t>LFLB-LESB</t>
  </si>
  <si>
    <t>LFCL-LFLB</t>
  </si>
  <si>
    <t>LFQA-ELLX</t>
  </si>
  <si>
    <t>LFTF-LFQA</t>
  </si>
  <si>
    <t>LEXJ-LFTF</t>
  </si>
  <si>
    <t>LFCL-LEXJ</t>
  </si>
  <si>
    <t>LFTF-LFCL</t>
  </si>
  <si>
    <t>LFQA-LFTF</t>
  </si>
  <si>
    <t>ELLX-LFQA</t>
  </si>
  <si>
    <t>LDDU-LJPZ</t>
  </si>
  <si>
    <t>LDRI-LDDU</t>
  </si>
  <si>
    <t>LJMB-LDRI</t>
  </si>
  <si>
    <t>ELLX-LJMB</t>
  </si>
  <si>
    <t>LFMU-LEMU</t>
  </si>
  <si>
    <t>ELLX-LFMU</t>
  </si>
  <si>
    <t>EDWI-ELLX</t>
  </si>
  <si>
    <t>ELLX-EDWI</t>
  </si>
  <si>
    <t>LESB-LFCL</t>
  </si>
  <si>
    <t>LFCL-LESB</t>
  </si>
  <si>
    <t>LESO-LFHV</t>
  </si>
  <si>
    <t>LFHV-LESO</t>
  </si>
  <si>
    <t>LFNB-ELLX</t>
  </si>
  <si>
    <t>ELLX-LFNB</t>
  </si>
  <si>
    <t>LFSN-ELLX</t>
  </si>
  <si>
    <t>ELLX-LFSN</t>
  </si>
  <si>
    <t>LFLH-ELLX</t>
  </si>
  <si>
    <t>ELLX-LFLH</t>
  </si>
  <si>
    <t>LFGT-ELLX</t>
  </si>
  <si>
    <t>LFRS-LFGT</t>
  </si>
  <si>
    <t>LFBH-LFRS</t>
  </si>
  <si>
    <t>LFGT-LFBH</t>
  </si>
  <si>
    <t>ELLX-LFGT</t>
  </si>
  <si>
    <t>LJLJ-ELLX</t>
  </si>
  <si>
    <t>ELLX-LJLJ</t>
  </si>
  <si>
    <t>EDMS-ELLX</t>
  </si>
  <si>
    <t>ELLX-EDMS</t>
  </si>
  <si>
    <t>EDHL-ELLX</t>
  </si>
  <si>
    <t>ELLX-EDHL</t>
  </si>
  <si>
    <t>LFJY-ELLX</t>
  </si>
  <si>
    <t>ELLX-LFJY</t>
  </si>
  <si>
    <t>LFMD-ELLX</t>
  </si>
  <si>
    <t>ELLX-LFMD</t>
  </si>
  <si>
    <t>EHTE-ELLX</t>
  </si>
  <si>
    <t>ELLX-EHTE</t>
  </si>
  <si>
    <t>ELLX-LFJL-ELLX</t>
  </si>
  <si>
    <t>EBOS-ELLX</t>
  </si>
  <si>
    <t>ELLX-EBOS</t>
  </si>
  <si>
    <t>ELLX-LFSN-ELLX</t>
  </si>
  <si>
    <t>LFGA-ELLX</t>
  </si>
  <si>
    <t>ELLX-LFGA</t>
  </si>
  <si>
    <t>ELLX-LKPR</t>
  </si>
  <si>
    <t>LKPR-ELLX</t>
  </si>
  <si>
    <t>plus rapide que AIX</t>
  </si>
  <si>
    <t>LFBA</t>
  </si>
  <si>
    <t>Dominique 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</si>
</sst>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0.0%"/>
    <numFmt numFmtId="166" formatCode="_-* #,##0.00\ _€_-;\-* #,##0.00\ _€_-;_-* &quot;-&quot;??\ _€_-;_-@_-"/>
    <numFmt numFmtId="167" formatCode="hh:mm:ss;@"/>
    <numFmt numFmtId="168" formatCode="dd/mm/yyyy;@"/>
  </numFmts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 tint="-0.499984740745262"/>
      <name val="Aptos Narrow"/>
      <family val="2"/>
      <scheme val="minor"/>
    </font>
    <font>
      <sz val="10"/>
      <color rgb="FF000000"/>
      <name val="Tahoma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2"/>
      <name val="Aptos Narrow"/>
      <scheme val="minor"/>
    </font>
    <font>
      <sz val="12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z val="12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b/>
      <sz val="20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 (Body)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BEE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44" fontId="0" fillId="0" borderId="0" xfId="2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6" fillId="0" borderId="0" xfId="0" applyFont="1"/>
    <xf numFmtId="0" fontId="0" fillId="2" borderId="2" xfId="0" applyFill="1" applyBorder="1"/>
    <xf numFmtId="0" fontId="0" fillId="2" borderId="3" xfId="0" applyFill="1" applyBorder="1"/>
    <xf numFmtId="0" fontId="3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5" xfId="0" applyBorder="1"/>
    <xf numFmtId="0" fontId="0" fillId="0" borderId="6" xfId="0" applyBorder="1"/>
    <xf numFmtId="0" fontId="6" fillId="2" borderId="5" xfId="0" applyFont="1" applyFill="1" applyBorder="1"/>
    <xf numFmtId="0" fontId="6" fillId="2" borderId="6" xfId="0" applyFont="1" applyFill="1" applyBorder="1"/>
    <xf numFmtId="0" fontId="6" fillId="0" borderId="4" xfId="0" applyFont="1" applyBorder="1"/>
    <xf numFmtId="0" fontId="6" fillId="2" borderId="4" xfId="0" applyFont="1" applyFill="1" applyBorder="1"/>
    <xf numFmtId="0" fontId="6" fillId="0" borderId="1" xfId="0" applyFont="1" applyBorder="1"/>
    <xf numFmtId="0" fontId="6" fillId="2" borderId="1" xfId="0" applyFont="1" applyFill="1" applyBorder="1"/>
    <xf numFmtId="0" fontId="0" fillId="0" borderId="0" xfId="0" pivotButton="1"/>
    <xf numFmtId="1" fontId="0" fillId="0" borderId="0" xfId="0" applyNumberFormat="1" applyAlignment="1">
      <alignment horizontal="center"/>
    </xf>
    <xf numFmtId="1" fontId="0" fillId="0" borderId="0" xfId="0" applyNumberFormat="1"/>
    <xf numFmtId="43" fontId="0" fillId="0" borderId="0" xfId="0" applyNumberFormat="1"/>
    <xf numFmtId="0" fontId="0" fillId="0" borderId="0" xfId="0" applyAlignment="1">
      <alignment horizontal="right"/>
    </xf>
    <xf numFmtId="43" fontId="0" fillId="0" borderId="0" xfId="1" applyFont="1"/>
    <xf numFmtId="165" fontId="0" fillId="0" borderId="0" xfId="5" applyNumberFormat="1" applyFont="1"/>
    <xf numFmtId="0" fontId="6" fillId="0" borderId="0" xfId="0" applyFont="1" applyAlignment="1">
      <alignment horizontal="center"/>
    </xf>
    <xf numFmtId="166" fontId="0" fillId="0" borderId="0" xfId="0" applyNumberFormat="1"/>
    <xf numFmtId="14" fontId="10" fillId="0" borderId="0" xfId="0" applyNumberFormat="1" applyFont="1" applyAlignment="1">
      <alignment horizontal="right"/>
    </xf>
    <xf numFmtId="0" fontId="4" fillId="0" borderId="0" xfId="0" applyFont="1" applyAlignment="1">
      <alignment horizontal="left" indent="1"/>
    </xf>
    <xf numFmtId="0" fontId="4" fillId="0" borderId="0" xfId="0" applyFont="1"/>
    <xf numFmtId="44" fontId="4" fillId="0" borderId="0" xfId="2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 indent="1"/>
    </xf>
    <xf numFmtId="0" fontId="6" fillId="0" borderId="0" xfId="0" applyFont="1" applyAlignment="1">
      <alignment horizontal="left"/>
    </xf>
    <xf numFmtId="0" fontId="0" fillId="5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/>
    <xf numFmtId="43" fontId="0" fillId="5" borderId="0" xfId="1" applyFont="1" applyFill="1"/>
    <xf numFmtId="0" fontId="13" fillId="5" borderId="0" xfId="0" applyFont="1" applyFill="1" applyAlignment="1">
      <alignment horizontal="center"/>
    </xf>
    <xf numFmtId="0" fontId="13" fillId="5" borderId="0" xfId="0" applyFont="1" applyFill="1"/>
    <xf numFmtId="0" fontId="14" fillId="0" borderId="0" xfId="0" applyFont="1"/>
    <xf numFmtId="0" fontId="14" fillId="0" borderId="0" xfId="0" applyFont="1" applyAlignment="1">
      <alignment horizontal="right"/>
    </xf>
    <xf numFmtId="1" fontId="0" fillId="5" borderId="0" xfId="0" applyNumberFormat="1" applyFill="1" applyAlignment="1">
      <alignment horizontal="center"/>
    </xf>
    <xf numFmtId="1" fontId="13" fillId="5" borderId="0" xfId="0" applyNumberFormat="1" applyFont="1" applyFill="1" applyAlignment="1">
      <alignment horizontal="center"/>
    </xf>
    <xf numFmtId="49" fontId="13" fillId="5" borderId="0" xfId="0" applyNumberFormat="1" applyFont="1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5" borderId="0" xfId="0" applyNumberFormat="1" applyFill="1"/>
    <xf numFmtId="167" fontId="13" fillId="5" borderId="0" xfId="0" applyNumberFormat="1" applyFon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5" borderId="0" xfId="0" applyNumberFormat="1" applyFill="1"/>
    <xf numFmtId="164" fontId="13" fillId="5" borderId="0" xfId="0" applyNumberFormat="1" applyFon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5" borderId="0" xfId="0" applyNumberFormat="1" applyFill="1"/>
    <xf numFmtId="0" fontId="0" fillId="5" borderId="8" xfId="0" applyFill="1" applyBorder="1"/>
    <xf numFmtId="0" fontId="0" fillId="3" borderId="11" xfId="0" applyFill="1" applyBorder="1"/>
    <xf numFmtId="0" fontId="9" fillId="4" borderId="7" xfId="0" applyFont="1" applyFill="1" applyBorder="1"/>
    <xf numFmtId="164" fontId="0" fillId="3" borderId="7" xfId="0" applyNumberFormat="1" applyFill="1" applyBorder="1"/>
    <xf numFmtId="164" fontId="0" fillId="0" borderId="7" xfId="0" applyNumberFormat="1" applyBorder="1"/>
    <xf numFmtId="9" fontId="0" fillId="3" borderId="7" xfId="0" applyNumberFormat="1" applyFill="1" applyBorder="1"/>
    <xf numFmtId="0" fontId="0" fillId="3" borderId="9" xfId="0" applyFill="1" applyBorder="1"/>
    <xf numFmtId="9" fontId="9" fillId="4" borderId="0" xfId="0" applyNumberFormat="1" applyFont="1" applyFill="1"/>
    <xf numFmtId="0" fontId="9" fillId="4" borderId="12" xfId="0" applyFont="1" applyFill="1" applyBorder="1"/>
    <xf numFmtId="0" fontId="15" fillId="0" borderId="9" xfId="0" applyFont="1" applyBorder="1"/>
    <xf numFmtId="0" fontId="15" fillId="0" borderId="10" xfId="0" applyFont="1" applyBorder="1"/>
    <xf numFmtId="164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3" fontId="0" fillId="7" borderId="0" xfId="1" applyFont="1" applyFill="1"/>
    <xf numFmtId="0" fontId="13" fillId="0" borderId="0" xfId="0" applyFont="1" applyAlignment="1">
      <alignment horizontal="center"/>
    </xf>
    <xf numFmtId="0" fontId="13" fillId="0" borderId="0" xfId="0" applyFont="1"/>
    <xf numFmtId="14" fontId="0" fillId="0" borderId="0" xfId="0" applyNumberFormat="1" applyAlignment="1">
      <alignment horizontal="center"/>
    </xf>
    <xf numFmtId="14" fontId="0" fillId="7" borderId="0" xfId="0" applyNumberFormat="1" applyFill="1" applyAlignment="1">
      <alignment horizontal="center"/>
    </xf>
    <xf numFmtId="0" fontId="17" fillId="8" borderId="0" xfId="0" applyFont="1" applyFill="1"/>
    <xf numFmtId="0" fontId="7" fillId="0" borderId="0" xfId="0" applyFont="1"/>
    <xf numFmtId="43" fontId="6" fillId="0" borderId="0" xfId="1" applyFont="1"/>
    <xf numFmtId="0" fontId="16" fillId="8" borderId="0" xfId="0" applyFont="1" applyFill="1"/>
    <xf numFmtId="44" fontId="6" fillId="0" borderId="0" xfId="2" applyFont="1"/>
    <xf numFmtId="0" fontId="3" fillId="0" borderId="0" xfId="0" applyFont="1"/>
    <xf numFmtId="43" fontId="0" fillId="5" borderId="0" xfId="1" applyFont="1" applyFill="1" applyAlignment="1">
      <alignment horizontal="center"/>
    </xf>
    <xf numFmtId="1" fontId="0" fillId="5" borderId="0" xfId="1" applyNumberFormat="1" applyFont="1" applyFill="1" applyAlignment="1">
      <alignment horizontal="center"/>
    </xf>
    <xf numFmtId="164" fontId="0" fillId="5" borderId="0" xfId="1" applyNumberFormat="1" applyFont="1" applyFill="1" applyAlignment="1">
      <alignment horizontal="center"/>
    </xf>
    <xf numFmtId="44" fontId="19" fillId="0" borderId="0" xfId="2" applyFont="1" applyFill="1"/>
    <xf numFmtId="0" fontId="20" fillId="0" borderId="0" xfId="0" applyFont="1"/>
    <xf numFmtId="44" fontId="2" fillId="0" borderId="0" xfId="2" applyFont="1"/>
    <xf numFmtId="0" fontId="21" fillId="0" borderId="14" xfId="0" applyFont="1" applyBorder="1" applyAlignment="1">
      <alignment horizontal="right"/>
    </xf>
    <xf numFmtId="44" fontId="22" fillId="0" borderId="14" xfId="0" applyNumberFormat="1" applyFont="1" applyBorder="1"/>
    <xf numFmtId="43" fontId="22" fillId="0" borderId="14" xfId="1" applyFont="1" applyBorder="1"/>
    <xf numFmtId="0" fontId="23" fillId="0" borderId="0" xfId="0" applyFont="1"/>
    <xf numFmtId="0" fontId="25" fillId="0" borderId="0" xfId="0" applyFont="1"/>
    <xf numFmtId="0" fontId="23" fillId="0" borderId="0" xfId="0" applyFont="1" applyAlignment="1">
      <alignment wrapText="1"/>
    </xf>
    <xf numFmtId="0" fontId="24" fillId="0" borderId="0" xfId="0" applyFont="1" applyAlignment="1">
      <alignment horizontal="left" indent="1"/>
    </xf>
    <xf numFmtId="9" fontId="0" fillId="7" borderId="0" xfId="5" applyFont="1" applyFill="1" applyAlignment="1">
      <alignment horizontal="center"/>
    </xf>
    <xf numFmtId="0" fontId="23" fillId="0" borderId="0" xfId="0" applyFont="1" applyAlignment="1">
      <alignment horizontal="left" indent="3"/>
    </xf>
    <xf numFmtId="0" fontId="24" fillId="0" borderId="0" xfId="0" applyFont="1" applyAlignment="1">
      <alignment horizontal="left" wrapText="1" indent="1"/>
    </xf>
    <xf numFmtId="0" fontId="23" fillId="0" borderId="0" xfId="0" applyFont="1" applyAlignment="1">
      <alignment horizontal="left" indent="4"/>
    </xf>
    <xf numFmtId="0" fontId="24" fillId="0" borderId="0" xfId="0" applyFont="1" applyAlignment="1">
      <alignment horizontal="left" indent="3"/>
    </xf>
    <xf numFmtId="0" fontId="27" fillId="0" borderId="0" xfId="0" applyFont="1"/>
    <xf numFmtId="44" fontId="7" fillId="0" borderId="0" xfId="2" applyFont="1"/>
    <xf numFmtId="0" fontId="18" fillId="0" borderId="0" xfId="0" applyFont="1"/>
    <xf numFmtId="44" fontId="18" fillId="0" borderId="0" xfId="0" applyNumberFormat="1" applyFont="1"/>
    <xf numFmtId="0" fontId="17" fillId="0" borderId="0" xfId="0" applyFont="1"/>
    <xf numFmtId="165" fontId="0" fillId="0" borderId="5" xfId="0" applyNumberFormat="1" applyBorder="1"/>
    <xf numFmtId="165" fontId="0" fillId="0" borderId="6" xfId="0" applyNumberFormat="1" applyBorder="1"/>
    <xf numFmtId="165" fontId="0" fillId="2" borderId="5" xfId="0" applyNumberFormat="1" applyFill="1" applyBorder="1"/>
    <xf numFmtId="165" fontId="0" fillId="2" borderId="6" xfId="0" applyNumberFormat="1" applyFill="1" applyBorder="1"/>
    <xf numFmtId="165" fontId="0" fillId="0" borderId="2" xfId="0" applyNumberFormat="1" applyBorder="1"/>
    <xf numFmtId="165" fontId="0" fillId="0" borderId="3" xfId="0" applyNumberFormat="1" applyBorder="1"/>
    <xf numFmtId="165" fontId="14" fillId="0" borderId="0" xfId="0" applyNumberFormat="1" applyFont="1"/>
    <xf numFmtId="168" fontId="0" fillId="0" borderId="0" xfId="0" applyNumberFormat="1"/>
    <xf numFmtId="0" fontId="0" fillId="0" borderId="18" xfId="0" applyBorder="1"/>
    <xf numFmtId="164" fontId="0" fillId="0" borderId="0" xfId="0" applyNumberFormat="1"/>
    <xf numFmtId="9" fontId="0" fillId="9" borderId="0" xfId="5" applyFont="1" applyFill="1"/>
    <xf numFmtId="14" fontId="0" fillId="0" borderId="0" xfId="0" applyNumberFormat="1"/>
    <xf numFmtId="0" fontId="0" fillId="0" borderId="14" xfId="0" applyBorder="1"/>
    <xf numFmtId="0" fontId="0" fillId="10" borderId="0" xfId="0" applyFill="1"/>
    <xf numFmtId="0" fontId="0" fillId="10" borderId="14" xfId="0" applyFill="1" applyBorder="1"/>
    <xf numFmtId="0" fontId="0" fillId="9" borderId="0" xfId="0" applyFill="1"/>
    <xf numFmtId="0" fontId="0" fillId="0" borderId="0" xfId="5" applyNumberFormat="1" applyFont="1" applyFill="1" applyAlignment="1">
      <alignment horizontal="center"/>
    </xf>
    <xf numFmtId="0" fontId="0" fillId="5" borderId="0" xfId="5" applyNumberFormat="1" applyFont="1" applyFill="1" applyAlignment="1">
      <alignment horizontal="center"/>
    </xf>
    <xf numFmtId="0" fontId="0" fillId="6" borderId="13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6">
    <cellStyle name="Comma" xfId="1" builtinId="3"/>
    <cellStyle name="Currency" xfId="2" builtinId="4"/>
    <cellStyle name="Currency 2" xfId="3" xr:uid="{E6DFC83B-B47A-3D4B-B7EE-742951CEE5B0}"/>
    <cellStyle name="Normal" xfId="0" builtinId="0"/>
    <cellStyle name="Per cent" xfId="5" builtinId="5"/>
    <cellStyle name="Per cent 2" xfId="4" xr:uid="{EF755771-4D96-AD43-A96F-30A00FE07CAF}"/>
  </cellStyles>
  <dxfs count="68">
    <dxf>
      <font>
        <color rgb="FF9C0006"/>
      </font>
    </dxf>
    <dxf>
      <font>
        <color rgb="FFFF0000"/>
      </font>
      <fill>
        <patternFill patternType="gray125"/>
      </fill>
    </dxf>
    <dxf>
      <font>
        <color rgb="FFFF0000"/>
      </font>
      <fill>
        <patternFill patternType="gray125"/>
      </fill>
    </dxf>
    <dxf>
      <font>
        <color rgb="FF9C0006"/>
      </font>
      <fill>
        <patternFill>
          <bgColor rgb="FFFFC7CE"/>
        </patternFill>
      </fill>
    </dxf>
    <dxf>
      <numFmt numFmtId="34" formatCode="_-* #,##0.00\ &quot;€&quot;_-;\-* #,##0.00\ &quot;€&quot;_-;_-* &quot;-&quot;??\ &quot;€&quot;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19" formatCode="d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0" tint="-0.34998626667073579"/>
        <name val="Aptos Narrow"/>
        <family val="2"/>
        <scheme val="minor"/>
      </font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numFmt numFmtId="164" formatCode="0.0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BEEE6"/>
        </patternFill>
      </fill>
    </dxf>
    <dxf>
      <numFmt numFmtId="164" formatCode="0.0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67" formatCode="hh:mm:ss;@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67" formatCode="hh:mm:ss;@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BEEE6"/>
        </patternFill>
      </fill>
    </dxf>
    <dxf>
      <fill>
        <patternFill patternType="solid">
          <fgColor indexed="64"/>
          <bgColor rgb="FFFBEEE6"/>
        </patternFill>
      </fill>
    </dxf>
    <dxf>
      <fill>
        <patternFill patternType="solid">
          <fgColor indexed="64"/>
          <bgColor rgb="FFFBEEE6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fill>
        <patternFill patternType="solid">
          <fgColor indexed="64"/>
          <bgColor rgb="FFFBEEE6"/>
        </patternFill>
      </fill>
    </dxf>
    <dxf>
      <numFmt numFmtId="1" formatCode="0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  <fill>
        <patternFill patternType="solid">
          <fgColor indexed="64"/>
          <bgColor rgb="FFFBEEE6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19" formatCode="d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border outline="0">
        <right style="thin">
          <color theme="4" tint="0.399975585192419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AFFF8"/>
      <color rgb="FFF4FFF0"/>
      <color rgb="FFE7F2E3"/>
      <color rgb="FFFBEEE6"/>
      <color rgb="FFF5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Expenses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L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D0-F14D-8D68-4FF68FA82F8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D0-F14D-8D68-4FF68FA82F8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D0-F14D-8D68-4FF68FA82F8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D0-F14D-8D68-4FF68FA82F8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D0-F14D-8D68-4FF68FA82F85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ED0-F14D-8D68-4FF68FA82F85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ED0-F14D-8D68-4FF68FA82F85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ED0-F14D-8D68-4FF68FA82F85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ED0-F14D-8D68-4FF68FA82F85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ED0-F14D-8D68-4FF68FA82F85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ED0-F14D-8D68-4FF68FA82F85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ED0-F14D-8D68-4FF68FA82F85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ED0-F14D-8D68-4FF68FA82F85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ED0-F14D-8D68-4FF68FA82F85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ED0-F14D-8D68-4FF68FA82F85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ED0-F14D-8D68-4FF68FA82F85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ED0-F14D-8D68-4FF68FA82F85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ED0-F14D-8D68-4FF68FA82F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L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Pivots!$B$5:$B$22</c:f>
              <c:strCache>
                <c:ptCount val="18"/>
                <c:pt idx="0">
                  <c:v>F-Airworthiness dir.</c:v>
                </c:pt>
                <c:pt idx="1">
                  <c:v>F-Annual visit</c:v>
                </c:pt>
                <c:pt idx="2">
                  <c:v>F-ARC &amp; CDN &amp; ILR</c:v>
                </c:pt>
                <c:pt idx="3">
                  <c:v>F-Avionics</c:v>
                </c:pt>
                <c:pt idx="4">
                  <c:v>F-Refill.</c:v>
                </c:pt>
                <c:pt idx="5">
                  <c:v>F-Time limit-misc. structure</c:v>
                </c:pt>
                <c:pt idx="6">
                  <c:v>V-Oil &amp; misc matériel</c:v>
                </c:pt>
                <c:pt idx="7">
                  <c:v>V-Visit 50h &amp; 100h</c:v>
                </c:pt>
                <c:pt idx="8">
                  <c:v>X-Bottle O2 change</c:v>
                </c:pt>
                <c:pt idx="9">
                  <c:v>X-Change propeller hub</c:v>
                </c:pt>
                <c:pt idx="10">
                  <c:v>X-GTN 650</c:v>
                </c:pt>
                <c:pt idx="11">
                  <c:v>X-Landing gear replacement</c:v>
                </c:pt>
                <c:pt idx="12">
                  <c:v>X-OVH ducts</c:v>
                </c:pt>
                <c:pt idx="13">
                  <c:v>X-OVH propeller governor</c:v>
                </c:pt>
                <c:pt idx="14">
                  <c:v>X-Raft, Life vests, masks O2</c:v>
                </c:pt>
                <c:pt idx="15">
                  <c:v>F-Hangar rent &amp; insur.</c:v>
                </c:pt>
                <c:pt idx="16">
                  <c:v>V-Landing fees</c:v>
                </c:pt>
                <c:pt idx="17">
                  <c:v>F-Plane insurance</c:v>
                </c:pt>
              </c:strCache>
            </c:strRef>
          </c:cat>
          <c:val>
            <c:numRef>
              <c:f>Pivots!$L$5:$L$22</c:f>
              <c:numCache>
                <c:formatCode>_(* #,##0.00_);_(* \(#,##0.00\);_(* "-"??_);_(@_)</c:formatCode>
                <c:ptCount val="18"/>
                <c:pt idx="0">
                  <c:v>330.23250000000002</c:v>
                </c:pt>
                <c:pt idx="1">
                  <c:v>15.350399999999999</c:v>
                </c:pt>
                <c:pt idx="2">
                  <c:v>0</c:v>
                </c:pt>
                <c:pt idx="3">
                  <c:v>467.67</c:v>
                </c:pt>
                <c:pt idx="4">
                  <c:v>210.6</c:v>
                </c:pt>
                <c:pt idx="5">
                  <c:v>1232.2674000000002</c:v>
                </c:pt>
                <c:pt idx="6">
                  <c:v>442.74680000000006</c:v>
                </c:pt>
                <c:pt idx="7">
                  <c:v>1665.4949999999999</c:v>
                </c:pt>
                <c:pt idx="8">
                  <c:v>75.400000000000006</c:v>
                </c:pt>
                <c:pt idx="9">
                  <c:v>0</c:v>
                </c:pt>
                <c:pt idx="10">
                  <c:v>142.80000000000001</c:v>
                </c:pt>
                <c:pt idx="11">
                  <c:v>-24222.510000000002</c:v>
                </c:pt>
                <c:pt idx="12">
                  <c:v>843.57</c:v>
                </c:pt>
                <c:pt idx="13">
                  <c:v>147.60720000000001</c:v>
                </c:pt>
                <c:pt idx="14">
                  <c:v>898.53660000000002</c:v>
                </c:pt>
                <c:pt idx="15">
                  <c:v>755.43000000000018</c:v>
                </c:pt>
                <c:pt idx="16">
                  <c:v>285.10000000000002</c:v>
                </c:pt>
                <c:pt idx="17">
                  <c:v>-310.05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4ED0-F14D-8D68-4FF68FA82F8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Expenses by groups of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F4-B344-9582-95AA56389E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DF4-B344-9582-95AA56389E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DF4-B344-9582-95AA56389E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L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Dashboard!$B$15:$B$17</c:f>
              <c:strCache>
                <c:ptCount val="3"/>
                <c:pt idx="0">
                  <c:v>Fixed expenses</c:v>
                </c:pt>
                <c:pt idx="1">
                  <c:v>Variable expenses + Fuel</c:v>
                </c:pt>
                <c:pt idx="2">
                  <c:v>Exceptional expenses</c:v>
                </c:pt>
              </c:strCache>
            </c:strRef>
          </c:cat>
          <c:val>
            <c:numRef>
              <c:f>Dashboard!$C$15:$C$17</c:f>
              <c:numCache>
                <c:formatCode>_("€"* #,##0.00_);_("€"* \(#,##0.00\);_("€"* "-"??_);_(@_)</c:formatCode>
                <c:ptCount val="3"/>
                <c:pt idx="0">
                  <c:v>2701.5003000000002</c:v>
                </c:pt>
                <c:pt idx="1">
                  <c:v>64674.690748000001</c:v>
                </c:pt>
                <c:pt idx="2">
                  <c:v>-22114.596200000004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F4-B344-9582-95AA56389EF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Misc.!$C$2</c:f>
              <c:strCache>
                <c:ptCount val="1"/>
                <c:pt idx="0">
                  <c:v>Remain before visit</c:v>
                </c:pt>
              </c:strCache>
            </c:strRef>
          </c:tx>
          <c:spPr>
            <a:ln w="952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Misc.!$A$3:$A$48</c:f>
              <c:numCache>
                <c:formatCode>dd/mm/yyyy;@</c:formatCode>
                <c:ptCount val="46"/>
              </c:numCache>
            </c:numRef>
          </c:xVal>
          <c:yVal>
            <c:numRef>
              <c:f>Misc.!$C$3:$C$48</c:f>
              <c:numCache>
                <c:formatCode>General</c:formatCode>
                <c:ptCount val="46"/>
                <c:pt idx="0">
                  <c:v>1470.1</c:v>
                </c:pt>
                <c:pt idx="1">
                  <c:v>1470.1</c:v>
                </c:pt>
                <c:pt idx="2">
                  <c:v>1470.1</c:v>
                </c:pt>
                <c:pt idx="3">
                  <c:v>1470.1</c:v>
                </c:pt>
                <c:pt idx="4">
                  <c:v>1470.1</c:v>
                </c:pt>
                <c:pt idx="5">
                  <c:v>1470.1</c:v>
                </c:pt>
                <c:pt idx="6">
                  <c:v>1470.1</c:v>
                </c:pt>
                <c:pt idx="7">
                  <c:v>1470.1</c:v>
                </c:pt>
                <c:pt idx="8">
                  <c:v>1470.1</c:v>
                </c:pt>
                <c:pt idx="9">
                  <c:v>1517.5</c:v>
                </c:pt>
                <c:pt idx="10">
                  <c:v>1517.5</c:v>
                </c:pt>
                <c:pt idx="11">
                  <c:v>1517.5</c:v>
                </c:pt>
                <c:pt idx="12">
                  <c:v>1517.5</c:v>
                </c:pt>
                <c:pt idx="13">
                  <c:v>1517.5</c:v>
                </c:pt>
                <c:pt idx="14">
                  <c:v>1517.5</c:v>
                </c:pt>
                <c:pt idx="15">
                  <c:v>1517.5</c:v>
                </c:pt>
                <c:pt idx="16">
                  <c:v>1517.5</c:v>
                </c:pt>
                <c:pt idx="17">
                  <c:v>1517.5</c:v>
                </c:pt>
                <c:pt idx="18">
                  <c:v>1517.5</c:v>
                </c:pt>
                <c:pt idx="19">
                  <c:v>1517.5</c:v>
                </c:pt>
                <c:pt idx="20">
                  <c:v>1517.5</c:v>
                </c:pt>
                <c:pt idx="21">
                  <c:v>1517.5</c:v>
                </c:pt>
                <c:pt idx="22">
                  <c:v>1517.5</c:v>
                </c:pt>
                <c:pt idx="23">
                  <c:v>1517.5</c:v>
                </c:pt>
                <c:pt idx="24">
                  <c:v>1517.5</c:v>
                </c:pt>
                <c:pt idx="25">
                  <c:v>1517.5</c:v>
                </c:pt>
                <c:pt idx="26">
                  <c:v>1517.5</c:v>
                </c:pt>
                <c:pt idx="27">
                  <c:v>1517.5</c:v>
                </c:pt>
                <c:pt idx="28">
                  <c:v>1517.5</c:v>
                </c:pt>
                <c:pt idx="29">
                  <c:v>1517.5</c:v>
                </c:pt>
                <c:pt idx="30">
                  <c:v>1517.5</c:v>
                </c:pt>
                <c:pt idx="31">
                  <c:v>1517.5</c:v>
                </c:pt>
                <c:pt idx="32">
                  <c:v>1517.5</c:v>
                </c:pt>
                <c:pt idx="33">
                  <c:v>1517.5</c:v>
                </c:pt>
                <c:pt idx="34">
                  <c:v>1517.5</c:v>
                </c:pt>
                <c:pt idx="35">
                  <c:v>1564</c:v>
                </c:pt>
                <c:pt idx="36">
                  <c:v>1564</c:v>
                </c:pt>
                <c:pt idx="37">
                  <c:v>1564</c:v>
                </c:pt>
                <c:pt idx="38">
                  <c:v>1564</c:v>
                </c:pt>
                <c:pt idx="39">
                  <c:v>1564</c:v>
                </c:pt>
                <c:pt idx="40">
                  <c:v>1564</c:v>
                </c:pt>
                <c:pt idx="41">
                  <c:v>1564</c:v>
                </c:pt>
                <c:pt idx="42">
                  <c:v>1564</c:v>
                </c:pt>
                <c:pt idx="43">
                  <c:v>1564</c:v>
                </c:pt>
                <c:pt idx="44">
                  <c:v>1564</c:v>
                </c:pt>
                <c:pt idx="45">
                  <c:v>1564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C-E44B-AC65-2BF3E9E71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251856"/>
        <c:axId val="1413183296"/>
      </c:scatterChart>
      <c:valAx>
        <c:axId val="14992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1413183296"/>
        <c:crosses val="autoZero"/>
        <c:crossBetween val="midCat"/>
      </c:valAx>
      <c:valAx>
        <c:axId val="14131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14992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138395</xdr:colOff>
      <xdr:row>31</xdr:row>
      <xdr:rowOff>132864</xdr:rowOff>
    </xdr:from>
    <xdr:to>
      <xdr:col>14</xdr:col>
      <xdr:colOff>783977</xdr:colOff>
      <xdr:row>57</xdr:row>
      <xdr:rowOff>166080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2DEF702B-DF54-2136-BFA9-32BD4F46D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155493</xdr:colOff>
      <xdr:row>40</xdr:row>
      <xdr:rowOff>52917</xdr:rowOff>
    </xdr:from>
    <xdr:to>
      <xdr:col>5</xdr:col>
      <xdr:colOff>10583</xdr:colOff>
      <xdr:row>58</xdr:row>
      <xdr:rowOff>8144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ED6FA962-10F2-0C8E-85A4-A23702D5B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31750</xdr:colOff>
      <xdr:row>28</xdr:row>
      <xdr:rowOff>179917</xdr:rowOff>
    </xdr:from>
    <xdr:to>
      <xdr:col>13</xdr:col>
      <xdr:colOff>814916</xdr:colOff>
      <xdr:row>30</xdr:row>
      <xdr:rowOff>52917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C511EC2-C895-EE4E-91A2-82E47427339C}"/>
            </a:ext>
          </a:extLst>
        </xdr:cNvPr>
        <xdr:cNvSpPr/>
      </xdr:nvSpPr>
      <xdr:spPr>
        <a:xfrm>
          <a:off x="14552083" y="5577417"/>
          <a:ext cx="783166" cy="27516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867832</xdr:colOff>
      <xdr:row>27</xdr:row>
      <xdr:rowOff>126998</xdr:rowOff>
    </xdr:from>
    <xdr:to>
      <xdr:col>13</xdr:col>
      <xdr:colOff>31750</xdr:colOff>
      <xdr:row>29</xdr:row>
      <xdr:rowOff>116417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9F6A5C8-E7CA-9C26-0251-6F84D03498BE}"/>
            </a:ext>
          </a:extLst>
        </xdr:cNvPr>
        <xdr:cNvCxnSpPr>
          <a:endCxn id="8" idx="2"/>
        </xdr:cNvCxnSpPr>
      </xdr:nvCxnSpPr>
      <xdr:spPr>
        <a:xfrm>
          <a:off x="10001249" y="5725581"/>
          <a:ext cx="1883834" cy="3915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857249</xdr:colOff>
      <xdr:row>29</xdr:row>
      <xdr:rowOff>105831</xdr:rowOff>
    </xdr:from>
    <xdr:to>
      <xdr:col>13</xdr:col>
      <xdr:colOff>31750</xdr:colOff>
      <xdr:row>29</xdr:row>
      <xdr:rowOff>116417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DBC5CEA-F879-CEF5-1AE2-BB9D2F1FA419}"/>
            </a:ext>
          </a:extLst>
        </xdr:cNvPr>
        <xdr:cNvCxnSpPr>
          <a:endCxn id="8" idx="2"/>
        </xdr:cNvCxnSpPr>
      </xdr:nvCxnSpPr>
      <xdr:spPr>
        <a:xfrm>
          <a:off x="9990666" y="6106581"/>
          <a:ext cx="1894417" cy="105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190501</xdr:colOff>
      <xdr:row>4</xdr:row>
      <xdr:rowOff>179916</xdr:rowOff>
    </xdr:from>
    <xdr:to>
      <xdr:col>11</xdr:col>
      <xdr:colOff>74085</xdr:colOff>
      <xdr:row>6</xdr:row>
      <xdr:rowOff>52917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2CB6BC5-9A45-FA4F-BF63-C0913EAAAD98}"/>
            </a:ext>
          </a:extLst>
        </xdr:cNvPr>
        <xdr:cNvSpPr/>
      </xdr:nvSpPr>
      <xdr:spPr>
        <a:xfrm>
          <a:off x="13885334" y="1153583"/>
          <a:ext cx="709084" cy="275167"/>
        </a:xfrm>
        <a:prstGeom prst="ellipse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341923</xdr:colOff>
      <xdr:row>16</xdr:row>
      <xdr:rowOff>48846</xdr:rowOff>
    </xdr:from>
    <xdr:to>
      <xdr:col>14</xdr:col>
      <xdr:colOff>58615</xdr:colOff>
      <xdr:row>42</xdr:row>
      <xdr:rowOff>195384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40B420-3840-8ECB-9F65-C0DD3A49E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u Tien Khang" refreshedDate="46047.878147453703" createdVersion="8" refreshedVersion="8" minRefreshableVersion="3" recordCount="225" xr:uid="{920C95D2-8F24-874E-B068-A43D9352672F}">
  <cacheSource type="worksheet">
    <worksheetSource name="tblContribs"/>
  </cacheSource>
  <cacheFields count="5">
    <cacheField name="Date" numFmtId="14">
      <sharedItems containsSemiMixedTypes="0" containsNonDate="0" containsDate="1" containsString="0" minDate="2020-01-08T00:00:00" maxDate="2026-01-03T00:00:00"/>
    </cacheField>
    <cacheField name="Description" numFmtId="0">
      <sharedItems/>
    </cacheField>
    <cacheField name="FundSource" numFmtId="0">
      <sharedItems count="6">
        <s v="Vu Tien"/>
        <s v="Jacques"/>
        <s v="Guy"/>
        <s v="Dominique"/>
        <s v="CommonPot"/>
        <s v="Maintenance" u="1"/>
      </sharedItems>
    </cacheField>
    <cacheField name="AmountIn" numFmtId="43">
      <sharedItems containsSemiMixedTypes="0" containsString="0" containsNumber="1" minValue="-3400" maxValue="18000"/>
    </cacheField>
    <cacheField name="Year" numFmtId="0">
      <sharedItems containsSemiMixedTypes="0" containsString="0" containsNumber="1" containsInteger="1" minValue="2020" maxValue="2026" count="7">
        <n v="2020"/>
        <n v="2021"/>
        <n v="2022"/>
        <n v="2023"/>
        <n v="2024"/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u Tien Khang" refreshedDate="46047.878147569441" createdVersion="8" refreshedVersion="8" minRefreshableVersion="3" recordCount="21" xr:uid="{33F46C1D-7DEA-7844-AE69-D8B366547258}">
  <cacheSource type="worksheet">
    <worksheetSource name="tblTrips"/>
  </cacheSource>
  <cacheFields count="21">
    <cacheField name="Date" numFmtId="14">
      <sharedItems containsSemiMixedTypes="0" containsNonDate="0" containsDate="1" containsString="0" minDate="2020-03-07T00:00:00" maxDate="2026-01-02T00:00:00"/>
    </cacheField>
    <cacheField name="Category" numFmtId="1">
      <sharedItems/>
    </cacheField>
    <cacheField name="PilotFlying" numFmtId="1">
      <sharedItems/>
    </cacheField>
    <cacheField name="Fundsource" numFmtId="1">
      <sharedItems count="5">
        <s v="Guy"/>
        <s v="Vu Tien"/>
        <s v="CommonPot"/>
        <s v="Dominique"/>
        <s v="Jacques"/>
      </sharedItems>
    </cacheField>
    <cacheField name="DepPlace" numFmtId="49">
      <sharedItems/>
    </cacheField>
    <cacheField name="DepTime" numFmtId="167">
      <sharedItems containsNonDate="0" containsDate="1" containsString="0" containsBlank="1" minDate="1899-12-30T08:00:00" maxDate="1899-12-30T20:07:00"/>
    </cacheField>
    <cacheField name="ArrPlace" numFmtId="49">
      <sharedItems/>
    </cacheField>
    <cacheField name="ArrTime" numFmtId="167">
      <sharedItems containsNonDate="0" containsDate="1" containsString="0" containsBlank="1" minDate="1899-12-30T09:41:00" maxDate="1899-12-30T20:50:05"/>
    </cacheField>
    <cacheField name="DepHobbs" numFmtId="164">
      <sharedItems containsSemiMixedTypes="0" containsString="0" containsNumber="1" minValue="1076.5999999999999" maxValue="1535"/>
    </cacheField>
    <cacheField name="ArrHobbs" numFmtId="164">
      <sharedItems containsSemiMixedTypes="0" containsString="0" containsNumber="1" minValue="1077.5" maxValue="1535.01"/>
    </cacheField>
    <cacheField name="PriceType" numFmtId="164">
      <sharedItems/>
    </cacheField>
    <cacheField name="FlRule" numFmtId="164">
      <sharedItems/>
    </cacheField>
    <cacheField name="LogDescription" numFmtId="0">
      <sharedItems/>
    </cacheField>
    <cacheField name="Year" numFmtId="1">
      <sharedItems containsSemiMixedTypes="0" containsString="0" containsNumber="1" containsInteger="1" minValue="1900" maxValue="2028" count="11">
        <n v="2020"/>
        <n v="2021"/>
        <n v="2022"/>
        <n v="2023"/>
        <n v="2024"/>
        <n v="2025"/>
        <n v="2026"/>
        <n v="2019" u="1"/>
        <n v="1900" u="1"/>
        <n v="2018" u="1"/>
        <n v="2028" u="1"/>
      </sharedItems>
    </cacheField>
    <cacheField name="CTripHobbs" numFmtId="164">
      <sharedItems containsSemiMixedTypes="0" containsString="0" containsNumber="1" minValue="0" maxValue="3.3999999999998636"/>
    </cacheField>
    <cacheField name="CTripVolFuel" numFmtId="43">
      <sharedItems containsSemiMixedTypes="0" containsString="0" containsNumber="1" minValue="0" maxValue="2144.6453333333202"/>
    </cacheField>
    <cacheField name="CHDryPrice" numFmtId="0">
      <sharedItems containsSemiMixedTypes="0" containsString="0" containsNumber="1" containsInteger="1" minValue="0" maxValue="220"/>
    </cacheField>
    <cacheField name="CHourVCost" numFmtId="43">
      <sharedItems containsSemiMixedTypes="0" containsString="0" containsNumber="1" minValue="92.016216839676275" maxValue="92.016216839676275"/>
    </cacheField>
    <cacheField name="CHFuelCostLast" numFmtId="44">
      <sharedItems containsSemiMixedTypes="0" containsString="0" containsNumber="1" minValue="61.436521739130434" maxValue="4193.9051282050305"/>
    </cacheField>
    <cacheField name="TripPriceLegac" numFmtId="44">
      <sharedItems containsSemiMixedTypes="0" containsString="0" containsNumber="1" minValue="0" maxValue="5296.6861538462363"/>
    </cacheField>
    <cacheField name="TripPrice2" numFmtId="44">
      <sharedItems containsSemiMixedTypes="0" containsString="0" containsNumber="1" minValue="0" maxValue="14572.1325731514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u Tien Khang" refreshedDate="46047.878147800926" createdVersion="8" refreshedVersion="8" minRefreshableVersion="3" recordCount="40" xr:uid="{4D6888CD-811D-B94F-8E3A-EC291D57430A}">
  <cacheSource type="worksheet">
    <worksheetSource name="tblExpenses"/>
  </cacheSource>
  <cacheFields count="14">
    <cacheField name="Date" numFmtId="14">
      <sharedItems containsSemiMixedTypes="0" containsNonDate="0" containsDate="1" containsString="0" minDate="2018-01-09T00:00:00" maxDate="2026-01-03T00:00:00"/>
    </cacheField>
    <cacheField name="ExpenseName" numFmtId="0">
      <sharedItems/>
    </cacheField>
    <cacheField name="InvoiceName" numFmtId="0">
      <sharedItems/>
    </cacheField>
    <cacheField name="Category" numFmtId="0">
      <sharedItems count="26">
        <s v="F-Plane insurance"/>
        <s v="F-Labor (m-h)"/>
        <s v="F-Time limit-misc. structure"/>
        <s v="V-Landing fees"/>
        <s v="X-Landing gear replacement"/>
        <s v="F-Refill."/>
        <s v="F-Airworthiness dir."/>
        <s v="X-Change propeller hub"/>
        <s v="F-Annual visit"/>
        <s v="F-Avionics"/>
        <s v="F-ARC &amp; CDN &amp; ILR"/>
        <s v="X-GTN 650"/>
        <s v="V-Visit 50h &amp; 100h"/>
        <s v="F-Hangar rent &amp; insur."/>
        <s v="X-Raft, Life vests, masks O2"/>
        <s v="V-Oil &amp; misc matériel"/>
        <s v="X-Bottle O2 change"/>
        <s v="X-OVH ducts"/>
        <s v="X-OVH propeller governor"/>
        <s v="X-Change engine OVH" u="1"/>
        <s v="C-Pilot Contribution" u="1"/>
        <s v="F-Assurance avion" u="1"/>
        <s v="F-Manpwr &amp; management (m-h)" u="1"/>
        <s v="F-Manpwr &amp; gestion (m-h)" u="1"/>
        <s v="F-Hangar &amp; assur." u="1"/>
        <s v="V-Taxes atterrissage" u="1"/>
      </sharedItems>
    </cacheField>
    <cacheField name="ManHour" numFmtId="0">
      <sharedItems containsSemiMixedTypes="0" containsString="0" containsNumber="1" minValue="0" maxValue="3"/>
    </cacheField>
    <cacheField name="PilotPaying" numFmtId="0">
      <sharedItems/>
    </cacheField>
    <cacheField name="FundSource" numFmtId="43">
      <sharedItems/>
    </cacheField>
    <cacheField name="AmountIn" numFmtId="43">
      <sharedItems containsNonDate="0" containsString="0" containsBlank="1"/>
    </cacheField>
    <cacheField name="HTAmount" numFmtId="43">
      <sharedItems containsString="0" containsBlank="1" containsNumber="1" minValue="-20703" maxValue="1269"/>
    </cacheField>
    <cacheField name="VATRate" numFmtId="9">
      <sharedItems containsString="0" containsBlank="1" containsNumber="1" minValue="0" maxValue="0.19"/>
    </cacheField>
    <cacheField name="Year" numFmtId="0">
      <sharedItems containsSemiMixedTypes="0" containsString="0" containsNumber="1" containsInteger="1" minValue="2013" maxValue="2026" count="14">
        <n v="2018"/>
        <n v="2019"/>
        <n v="2020"/>
        <n v="2021"/>
        <n v="2022"/>
        <n v="2023"/>
        <n v="2024"/>
        <n v="2025"/>
        <n v="2026"/>
        <n v="2013" u="1"/>
        <n v="2014" u="1"/>
        <n v="2015" u="1"/>
        <n v="2016" u="1"/>
        <n v="2017" u="1"/>
      </sharedItems>
    </cacheField>
    <cacheField name="CategoryGroup" numFmtId="0">
      <sharedItems count="4">
        <s v="F"/>
        <s v="V"/>
        <s v="X"/>
        <s v="C" u="1"/>
      </sharedItems>
    </cacheField>
    <cacheField name="VATAmount" numFmtId="43">
      <sharedItems containsSemiMixedTypes="0" containsString="0" containsNumber="1" minValue="-3519.51" maxValue="215.73000000000002"/>
    </cacheField>
    <cacheField name="AmountOut" numFmtId="43">
      <sharedItems containsSemiMixedTypes="0" containsString="0" containsNumber="1" minValue="-24222.510000000002" maxValue="1484.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u Tien Khang" refreshedDate="46047.878148032411" createdVersion="8" refreshedVersion="8" minRefreshableVersion="3" recordCount="183" xr:uid="{91BF67D4-7CCB-FA41-B044-A253BE1BB374}">
  <cacheSource type="worksheet">
    <worksheetSource name="tblAVGAS3"/>
  </cacheSource>
  <cacheFields count="10">
    <cacheField name="Date" numFmtId="14">
      <sharedItems containsSemiMixedTypes="0" containsNonDate="0" containsDate="1" containsString="0" minDate="2019-02-04T00:00:00" maxDate="2026-01-02T00:00:00"/>
    </cacheField>
    <cacheField name="Category" numFmtId="1">
      <sharedItems/>
    </cacheField>
    <cacheField name="PilotFlying" numFmtId="0">
      <sharedItems/>
    </cacheField>
    <cacheField name="Fundsource" numFmtId="0">
      <sharedItems/>
    </cacheField>
    <cacheField name="LogDescription" numFmtId="0">
      <sharedItems/>
    </cacheField>
    <cacheField name="TTCAmount" numFmtId="0">
      <sharedItems containsSemiMixedTypes="0" containsString="0" containsNumber="1" minValue="0" maxValue="696.48"/>
    </cacheField>
    <cacheField name="FuelProvider" numFmtId="0">
      <sharedItems/>
    </cacheField>
    <cacheField name="volAVGAS_L" numFmtId="43">
      <sharedItems containsSemiMixedTypes="0" containsString="0" containsNumber="1" minValue="3.7037037037037034E-3" maxValue="277.74"/>
    </cacheField>
    <cacheField name="Year" numFmtId="1">
      <sharedItems containsSemiMixedTypes="0" containsString="0" containsNumber="1" containsInteger="1" minValue="2019" maxValue="2026" count="8">
        <n v="2019"/>
        <n v="2020"/>
        <n v="2021"/>
        <n v="2022"/>
        <n v="2023"/>
        <n v="2024"/>
        <n v="2025"/>
        <n v="2026"/>
      </sharedItems>
    </cacheField>
    <cacheField name="UnitPrice" numFmtId="43">
      <sharedItems containsSemiMixedTypes="0" containsString="0" containsNumber="1" minValue="0" maxValue="3.79472049689441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d v="2020-01-08T00:00:00"/>
    <s v="Initial 2020 Contribution"/>
    <x v="0"/>
    <n v="3000"/>
    <x v="0"/>
  </r>
  <r>
    <d v="2020-02-12T00:00:00"/>
    <s v="Initial 2020 Contribution"/>
    <x v="0"/>
    <n v="1000"/>
    <x v="0"/>
  </r>
  <r>
    <d v="2020-03-02T00:00:00"/>
    <s v="Initial 2020 Contribution"/>
    <x v="0"/>
    <n v="2000"/>
    <x v="0"/>
  </r>
  <r>
    <d v="2020-04-14T00:00:00"/>
    <s v="Initial 2020 Contribution"/>
    <x v="0"/>
    <n v="2000"/>
    <x v="0"/>
  </r>
  <r>
    <d v="2020-05-08T00:00:00"/>
    <s v="Initial 2020 Contribution"/>
    <x v="0"/>
    <n v="6000"/>
    <x v="0"/>
  </r>
  <r>
    <d v="2020-05-11T00:00:00"/>
    <s v="Initial 2020 Contribution"/>
    <x v="1"/>
    <n v="5000"/>
    <x v="0"/>
  </r>
  <r>
    <d v="2020-07-07T00:00:00"/>
    <s v="Initial 2020 Contribution"/>
    <x v="0"/>
    <n v="3000"/>
    <x v="0"/>
  </r>
  <r>
    <d v="2020-07-10T00:00:00"/>
    <s v="Initial 2020 Contribution"/>
    <x v="2"/>
    <n v="1500"/>
    <x v="0"/>
  </r>
  <r>
    <d v="2020-08-04T00:00:00"/>
    <s v="Initial 2020 Contribution"/>
    <x v="0"/>
    <n v="2000"/>
    <x v="0"/>
  </r>
  <r>
    <d v="2020-09-15T00:00:00"/>
    <s v="Initial 2020 Contribution"/>
    <x v="0"/>
    <n v="3000"/>
    <x v="0"/>
  </r>
  <r>
    <d v="2020-09-20T00:00:00"/>
    <s v="Initial 2020 Contribution"/>
    <x v="2"/>
    <n v="1500"/>
    <x v="0"/>
  </r>
  <r>
    <d v="2020-10-19T00:00:00"/>
    <s v="Initial 2020 Contribution"/>
    <x v="0"/>
    <n v="2000"/>
    <x v="0"/>
  </r>
  <r>
    <d v="2020-11-11T00:00:00"/>
    <s v="Initial 2020 Contribution"/>
    <x v="0"/>
    <n v="2000"/>
    <x v="0"/>
  </r>
  <r>
    <d v="2020-12-11T00:00:00"/>
    <s v="Initial 2020 Contribution"/>
    <x v="0"/>
    <n v="2000"/>
    <x v="0"/>
  </r>
  <r>
    <d v="2021-01-08T00:00:00"/>
    <s v="Monthly"/>
    <x v="0"/>
    <n v="2000"/>
    <x v="1"/>
  </r>
  <r>
    <d v="2021-01-15T00:00:00"/>
    <s v="Avance sur compte"/>
    <x v="2"/>
    <n v="4000"/>
    <x v="1"/>
  </r>
  <r>
    <d v="2021-02-19T00:00:00"/>
    <s v="Monthly"/>
    <x v="0"/>
    <n v="2000"/>
    <x v="1"/>
  </r>
  <r>
    <d v="2021-03-08T00:00:00"/>
    <s v="Monthly"/>
    <x v="0"/>
    <n v="1000"/>
    <x v="1"/>
  </r>
  <r>
    <d v="2021-03-06T00:00:00"/>
    <s v="taxes Koblenz"/>
    <x v="2"/>
    <n v="17.100000000000001"/>
    <x v="1"/>
  </r>
  <r>
    <d v="2021-03-20T00:00:00"/>
    <s v="taxes Trier Foehren"/>
    <x v="2"/>
    <n v="18.5"/>
    <x v="1"/>
  </r>
  <r>
    <d v="2021-04-07T00:00:00"/>
    <s v="Monthly"/>
    <x v="0"/>
    <n v="2000"/>
    <x v="1"/>
  </r>
  <r>
    <d v="2021-04-29T00:00:00"/>
    <s v="AVGAS Cannes VTK"/>
    <x v="0"/>
    <n v="361.24"/>
    <x v="1"/>
  </r>
  <r>
    <d v="2021-05-02T00:00:00"/>
    <s v="Monthly"/>
    <x v="0"/>
    <n v="3000"/>
    <x v="1"/>
  </r>
  <r>
    <d v="2021-05-09T00:00:00"/>
    <s v="AVGAS Luebeck VTK"/>
    <x v="0"/>
    <n v="303.32"/>
    <x v="1"/>
  </r>
  <r>
    <d v="2021-06-12T00:00:00"/>
    <s v="Monthly"/>
    <x v="0"/>
    <n v="3000"/>
    <x v="1"/>
  </r>
  <r>
    <d v="2021-07-05T00:00:00"/>
    <s v="Monthly"/>
    <x v="0"/>
    <n v="1000"/>
    <x v="1"/>
  </r>
  <r>
    <d v="2021-07-10T00:00:00"/>
    <s v="Monthly"/>
    <x v="0"/>
    <n v="1500"/>
    <x v="1"/>
  </r>
  <r>
    <d v="2021-07-26T00:00:00"/>
    <s v="Loyer hangar 2021"/>
    <x v="1"/>
    <n v="3806.04"/>
    <x v="1"/>
  </r>
  <r>
    <d v="2021-07-18T00:00:00"/>
    <s v="taxes Le Touquet"/>
    <x v="0"/>
    <n v="36"/>
    <x v="1"/>
  </r>
  <r>
    <d v="2021-08-27T00:00:00"/>
    <s v="Monthly"/>
    <x v="0"/>
    <n v="1000"/>
    <x v="1"/>
  </r>
  <r>
    <d v="2021-09-07T00:00:00"/>
    <s v="Avance sur compte"/>
    <x v="3"/>
    <n v="2600"/>
    <x v="1"/>
  </r>
  <r>
    <d v="2021-09-19T00:00:00"/>
    <s v="taxes Le Touquet"/>
    <x v="2"/>
    <n v="36"/>
    <x v="1"/>
  </r>
  <r>
    <d v="2021-09-20T00:00:00"/>
    <s v="Monthly"/>
    <x v="0"/>
    <n v="1000"/>
    <x v="1"/>
  </r>
  <r>
    <d v="2021-09-23T00:00:00"/>
    <s v="taxes Nancy"/>
    <x v="0"/>
    <n v="8.5"/>
    <x v="1"/>
  </r>
  <r>
    <d v="2021-09-24T00:00:00"/>
    <s v="Avance sur compte"/>
    <x v="2"/>
    <n v="2000"/>
    <x v="1"/>
  </r>
  <r>
    <d v="2021-10-14T00:00:00"/>
    <s v="Monthly"/>
    <x v="0"/>
    <n v="1000"/>
    <x v="1"/>
  </r>
  <r>
    <d v="2021-12-08T00:00:00"/>
    <s v="Monthly"/>
    <x v="0"/>
    <n v="2000"/>
    <x v="1"/>
  </r>
  <r>
    <d v="2022-01-03T00:00:00"/>
    <s v="Monthly"/>
    <x v="0"/>
    <n v="1000"/>
    <x v="2"/>
  </r>
  <r>
    <d v="2022-02-05T00:00:00"/>
    <s v="Monthly"/>
    <x v="0"/>
    <n v="2000"/>
    <x v="2"/>
  </r>
  <r>
    <d v="2022-02-08T00:00:00"/>
    <s v="Contribution"/>
    <x v="1"/>
    <n v="15000"/>
    <x v="2"/>
  </r>
  <r>
    <d v="2022-03-02T00:00:00"/>
    <s v="Monthly"/>
    <x v="0"/>
    <n v="3000"/>
    <x v="2"/>
  </r>
  <r>
    <d v="2022-03-14T00:00:00"/>
    <s v="Avance sur compte"/>
    <x v="2"/>
    <n v="2000"/>
    <x v="2"/>
  </r>
  <r>
    <d v="2022-04-13T00:00:00"/>
    <s v="Avance &amp; HdV avr 2022"/>
    <x v="0"/>
    <n v="3000"/>
    <x v="2"/>
  </r>
  <r>
    <d v="2022-04-19T00:00:00"/>
    <s v="Contrib Lionel Mamane"/>
    <x v="0"/>
    <n v="354.24"/>
    <x v="2"/>
  </r>
  <r>
    <d v="2022-05-02T00:00:00"/>
    <s v="Avance &amp; HdV mai 2022"/>
    <x v="0"/>
    <n v="3000"/>
    <x v="2"/>
  </r>
  <r>
    <d v="2022-05-17T00:00:00"/>
    <s v="Avance &amp; HdV mai 2022"/>
    <x v="2"/>
    <n v="2000"/>
    <x v="2"/>
  </r>
  <r>
    <d v="2022-06-06T00:00:00"/>
    <s v="Avance &amp; HdV jun 2022"/>
    <x v="0"/>
    <n v="3000"/>
    <x v="2"/>
  </r>
  <r>
    <d v="2022-06-15T00:00:00"/>
    <s v="AVGAS LESO San Seb"/>
    <x v="3"/>
    <n v="245.68"/>
    <x v="2"/>
  </r>
  <r>
    <d v="2022-06-16T00:00:00"/>
    <s v="AVGAS Ljubljana VTK"/>
    <x v="0"/>
    <n v="403"/>
    <x v="2"/>
  </r>
  <r>
    <d v="2022-06-18T00:00:00"/>
    <s v="Taxes Ljubljana VTK"/>
    <x v="0"/>
    <n v="80.099999999999994"/>
    <x v="2"/>
  </r>
  <r>
    <d v="2022-06-27T00:00:00"/>
    <s v="Vols avec pilotes"/>
    <x v="3"/>
    <n v="800"/>
    <x v="2"/>
  </r>
  <r>
    <d v="2022-07-01T00:00:00"/>
    <s v="AVGAS LESO San Seb"/>
    <x v="3"/>
    <n v="335.93"/>
    <x v="2"/>
  </r>
  <r>
    <d v="2022-07-05T00:00:00"/>
    <s v="Avance sur compte"/>
    <x v="3"/>
    <n v="1386"/>
    <x v="2"/>
  </r>
  <r>
    <d v="2022-07-05T00:00:00"/>
    <s v="Avance sur compte"/>
    <x v="3"/>
    <n v="400"/>
    <x v="2"/>
  </r>
  <r>
    <d v="2022-07-05T00:00:00"/>
    <s v="Avance &amp; HdV jul 2022"/>
    <x v="0"/>
    <n v="3000"/>
    <x v="2"/>
  </r>
  <r>
    <d v="2022-07-08T00:00:00"/>
    <s v="AVGAS Aubenas"/>
    <x v="0"/>
    <n v="245.68"/>
    <x v="2"/>
  </r>
  <r>
    <d v="2022-07-18T00:00:00"/>
    <s v="Paiement HdV"/>
    <x v="3"/>
    <n v="1018.56"/>
    <x v="2"/>
  </r>
  <r>
    <d v="2022-07-19T00:00:00"/>
    <s v="AVGAS LFBH"/>
    <x v="0"/>
    <n v="500.44"/>
    <x v="2"/>
  </r>
  <r>
    <d v="2022-07-19T00:00:00"/>
    <s v="Taxes La Rochelle LFBH"/>
    <x v="0"/>
    <n v="59.8"/>
    <x v="2"/>
  </r>
  <r>
    <d v="2022-08-01T00:00:00"/>
    <s v="Avance &amp; HdV Aug 2022"/>
    <x v="0"/>
    <n v="3000"/>
    <x v="2"/>
  </r>
  <r>
    <d v="2022-08-03T00:00:00"/>
    <s v="Taxes Vannes"/>
    <x v="1"/>
    <n v="10.199999999999999"/>
    <x v="2"/>
  </r>
  <r>
    <d v="2022-08-03T00:00:00"/>
    <s v="AVGAS Vannes"/>
    <x v="0"/>
    <n v="435.22"/>
    <x v="2"/>
  </r>
  <r>
    <d v="2022-08-07T00:00:00"/>
    <s v="Taxes Nancy LFSN"/>
    <x v="0"/>
    <n v="27.57"/>
    <x v="2"/>
  </r>
  <r>
    <d v="2022-08-20T00:00:00"/>
    <s v="Taxes Vannes"/>
    <x v="1"/>
    <n v="11.64"/>
    <x v="2"/>
  </r>
  <r>
    <d v="2022-09-07T00:00:00"/>
    <s v="Avance &amp; HdV Sep 2022"/>
    <x v="0"/>
    <n v="3000"/>
    <x v="2"/>
  </r>
  <r>
    <d v="2022-09-22T00:00:00"/>
    <s v="AVGAS Villefranche"/>
    <x v="0"/>
    <n v="54.24"/>
    <x v="2"/>
  </r>
  <r>
    <d v="2022-09-22T00:00:00"/>
    <s v="AVGAS San Sebastian"/>
    <x v="0"/>
    <n v="210"/>
    <x v="2"/>
  </r>
  <r>
    <d v="2022-09-23T00:00:00"/>
    <s v="AVGAS Villefranche"/>
    <x v="0"/>
    <n v="332.36"/>
    <x v="2"/>
  </r>
  <r>
    <d v="2022-09-23T00:00:00"/>
    <s v="Taxes San Sebastian"/>
    <x v="0"/>
    <n v="50.28"/>
    <x v="2"/>
  </r>
  <r>
    <d v="2022-09-29T00:00:00"/>
    <s v="Avance sur compte"/>
    <x v="2"/>
    <n v="2500"/>
    <x v="2"/>
  </r>
  <r>
    <d v="2022-09-30T00:00:00"/>
    <s v="Contrib Jacinto LESO"/>
    <x v="0"/>
    <n v="827.46"/>
    <x v="2"/>
  </r>
  <r>
    <d v="2022-10-29T00:00:00"/>
    <s v="Paiement HdV"/>
    <x v="3"/>
    <n v="550"/>
    <x v="2"/>
  </r>
  <r>
    <d v="2022-10-06T00:00:00"/>
    <s v="Avance &amp; HdV Oct 2022"/>
    <x v="0"/>
    <n v="3000"/>
    <x v="2"/>
  </r>
  <r>
    <d v="2022-10-06T00:00:00"/>
    <s v="Avance &amp; HdV Oct 2022"/>
    <x v="0"/>
    <n v="3000"/>
    <x v="2"/>
  </r>
  <r>
    <d v="2022-09-27T00:00:00"/>
    <s v="Taxes Villefranche Tarare"/>
    <x v="0"/>
    <n v="30"/>
    <x v="2"/>
  </r>
  <r>
    <d v="2022-11-02T00:00:00"/>
    <s v="taxes Chambéry VT"/>
    <x v="0"/>
    <n v="8.7799999999999994"/>
    <x v="2"/>
  </r>
  <r>
    <d v="2022-11-09T00:00:00"/>
    <s v="hangar payé par jacques"/>
    <x v="1"/>
    <n v="5596.25"/>
    <x v="2"/>
  </r>
  <r>
    <d v="2022-11-23T00:00:00"/>
    <s v="Avance &amp; HdV Nov 2022"/>
    <x v="0"/>
    <n v="3000"/>
    <x v="2"/>
  </r>
  <r>
    <d v="2022-12-11T00:00:00"/>
    <s v="Avance &amp; HdV déc 2022"/>
    <x v="0"/>
    <n v="3000"/>
    <x v="2"/>
  </r>
  <r>
    <d v="2022-12-12T00:00:00"/>
    <s v="Hangar contrib LX-ARA"/>
    <x v="4"/>
    <n v="325.69"/>
    <x v="2"/>
  </r>
  <r>
    <d v="2022-12-16T00:00:00"/>
    <s v="Rembt clé hangar LX-ARA"/>
    <x v="0"/>
    <n v="13.95"/>
    <x v="2"/>
  </r>
  <r>
    <d v="2023-01-01T00:00:00"/>
    <s v="Régularisation 2022"/>
    <x v="1"/>
    <n v="4432.2700000000004"/>
    <x v="3"/>
  </r>
  <r>
    <d v="2023-01-01T00:00:00"/>
    <s v="Régularisation 2022"/>
    <x v="0"/>
    <n v="5798.23"/>
    <x v="3"/>
  </r>
  <r>
    <d v="2023-01-03T00:00:00"/>
    <s v="Avance &amp; HdV 2022"/>
    <x v="1"/>
    <n v="5000"/>
    <x v="3"/>
  </r>
  <r>
    <d v="2023-01-02T00:00:00"/>
    <s v="Avance &amp; HdV jan 2023"/>
    <x v="0"/>
    <n v="3000"/>
    <x v="3"/>
  </r>
  <r>
    <d v="2023-01-12T00:00:00"/>
    <s v="Hangar contrib LX-ARA"/>
    <x v="4"/>
    <n v="347.44"/>
    <x v="3"/>
  </r>
  <r>
    <d v="2023-02-07T00:00:00"/>
    <s v="Huile bidon, VTK puis remboursé"/>
    <x v="0"/>
    <n v="0"/>
    <x v="3"/>
  </r>
  <r>
    <d v="2023-02-17T00:00:00"/>
    <s v="Bonus assurance"/>
    <x v="0"/>
    <n v="281.94"/>
    <x v="3"/>
  </r>
  <r>
    <d v="2023-02-18T00:00:00"/>
    <s v="Avance &amp; HdV fev 2023"/>
    <x v="0"/>
    <n v="3000"/>
    <x v="3"/>
  </r>
  <r>
    <d v="2023-02-18T00:00:00"/>
    <s v="Hangar contrib LX-ARA"/>
    <x v="4"/>
    <n v="347.44"/>
    <x v="3"/>
  </r>
  <r>
    <d v="2023-03-11T00:00:00"/>
    <s v="Avance &amp; HdV mar 2023"/>
    <x v="0"/>
    <n v="3000"/>
    <x v="3"/>
  </r>
  <r>
    <d v="2023-03-13T00:00:00"/>
    <s v="Hangar contrib LX-ARA"/>
    <x v="4"/>
    <n v="347.44"/>
    <x v="3"/>
  </r>
  <r>
    <d v="2023-04-05T00:00:00"/>
    <s v="Avance &amp; HdV avr 2023"/>
    <x v="0"/>
    <n v="3000"/>
    <x v="3"/>
  </r>
  <r>
    <d v="2023-04-12T00:00:00"/>
    <s v="Hangar contrib LX-ARA"/>
    <x v="4"/>
    <n v="347.44"/>
    <x v="3"/>
  </r>
  <r>
    <d v="2023-05-05T00:00:00"/>
    <s v="Avance &amp; HdV mai 2023"/>
    <x v="0"/>
    <n v="3000"/>
    <x v="3"/>
  </r>
  <r>
    <d v="2023-05-07T00:00:00"/>
    <s v="Contrib HdV Rodez"/>
    <x v="3"/>
    <n v="1260.54"/>
    <x v="3"/>
  </r>
  <r>
    <d v="2023-05-12T00:00:00"/>
    <s v="Hangar contrib LX-ARA"/>
    <x v="4"/>
    <n v="347.44"/>
    <x v="3"/>
  </r>
  <r>
    <d v="2023-05-15T00:00:00"/>
    <s v="VISA Remboursé AVGAS Muchamiel"/>
    <x v="0"/>
    <n v="0"/>
    <x v="3"/>
  </r>
  <r>
    <d v="2023-06-01T00:00:00"/>
    <s v="Avance juin 2023"/>
    <x v="0"/>
    <n v="1500"/>
    <x v="3"/>
  </r>
  <r>
    <d v="2023-06-04T00:00:00"/>
    <s v="Avance HdV juin 2023"/>
    <x v="0"/>
    <n v="1500"/>
    <x v="3"/>
  </r>
  <r>
    <d v="2023-06-04T00:00:00"/>
    <s v="Avance sur compte"/>
    <x v="2"/>
    <n v="2000"/>
    <x v="3"/>
  </r>
  <r>
    <d v="2023-06-12T00:00:00"/>
    <s v="Hangar contrib LX-ARA"/>
    <x v="4"/>
    <n v="347.44"/>
    <x v="3"/>
  </r>
  <r>
    <d v="2023-06-28T00:00:00"/>
    <s v="Contrib HdV Agen"/>
    <x v="3"/>
    <n v="1950"/>
    <x v="3"/>
  </r>
  <r>
    <d v="2023-07-01T00:00:00"/>
    <s v="Contribution"/>
    <x v="1"/>
    <n v="3000"/>
    <x v="3"/>
  </r>
  <r>
    <d v="2023-07-01T00:00:00"/>
    <s v="Contrib HdV Agen"/>
    <x v="3"/>
    <n v="530"/>
    <x v="3"/>
  </r>
  <r>
    <d v="2023-07-03T00:00:00"/>
    <s v="Avance juillet 2023"/>
    <x v="0"/>
    <n v="1500"/>
    <x v="3"/>
  </r>
  <r>
    <d v="2023-07-05T00:00:00"/>
    <s v="Avance HdV jul 2023"/>
    <x v="0"/>
    <n v="1500"/>
    <x v="3"/>
  </r>
  <r>
    <d v="2023-07-06T00:00:00"/>
    <s v="VISA AVGAS Aubenas"/>
    <x v="0"/>
    <n v="234.49"/>
    <x v="3"/>
  </r>
  <r>
    <d v="2023-07-09T00:00:00"/>
    <s v="VISA AVGAS Aubenas"/>
    <x v="2"/>
    <n v="151.03"/>
    <x v="3"/>
  </r>
  <r>
    <d v="2023-07-12T00:00:00"/>
    <s v="Hangar contrib LX-ARA"/>
    <x v="4"/>
    <n v="347.44"/>
    <x v="3"/>
  </r>
  <r>
    <d v="2023-07-16T00:00:00"/>
    <s v="VISA AVGAS Maribor"/>
    <x v="0"/>
    <n v="220.55"/>
    <x v="3"/>
  </r>
  <r>
    <d v="2023-07-18T00:00:00"/>
    <s v="VISA Handling Maribor"/>
    <x v="0"/>
    <n v="66.2"/>
    <x v="3"/>
  </r>
  <r>
    <d v="2023-07-20T00:00:00"/>
    <s v="VISA Handling Rijeka"/>
    <x v="0"/>
    <n v="127.61"/>
    <x v="3"/>
  </r>
  <r>
    <d v="2023-07-20T00:00:00"/>
    <s v="VISA AVGAS Dubrovnik"/>
    <x v="0"/>
    <n v="375.88"/>
    <x v="3"/>
  </r>
  <r>
    <d v="2023-07-25T00:00:00"/>
    <s v="VISA Handling Dubrovnik"/>
    <x v="0"/>
    <n v="271.63"/>
    <x v="3"/>
  </r>
  <r>
    <d v="2023-07-25T00:00:00"/>
    <s v="VISA AVGAS Portoroz"/>
    <x v="0"/>
    <n v="385.28"/>
    <x v="3"/>
  </r>
  <r>
    <d v="2023-07-27T00:00:00"/>
    <s v="VISA Handling Portoroz"/>
    <x v="0"/>
    <n v="155.5"/>
    <x v="3"/>
  </r>
  <r>
    <d v="2023-08-02T00:00:00"/>
    <s v="Avance août 2023"/>
    <x v="0"/>
    <n v="1500"/>
    <x v="3"/>
  </r>
  <r>
    <d v="2023-08-03T00:00:00"/>
    <s v="Avance HdV août 2023"/>
    <x v="0"/>
    <n v="1500"/>
    <x v="3"/>
  </r>
  <r>
    <d v="2023-08-08T00:00:00"/>
    <s v="Contribution HdV"/>
    <x v="2"/>
    <n v="4000"/>
    <x v="3"/>
  </r>
  <r>
    <d v="2023-08-09T00:00:00"/>
    <s v="Restitution"/>
    <x v="2"/>
    <n v="-3400"/>
    <x v="3"/>
  </r>
  <r>
    <d v="2023-08-14T00:00:00"/>
    <s v="Hangar contrib LX-ARA"/>
    <x v="4"/>
    <n v="347.44"/>
    <x v="3"/>
  </r>
  <r>
    <d v="2023-08-17T00:00:00"/>
    <s v="VISA AVGAS Cuers"/>
    <x v="0"/>
    <n v="259.54000000000002"/>
    <x v="3"/>
  </r>
  <r>
    <d v="2023-08-24T00:00:00"/>
    <s v="VISA AVGAS Cuers"/>
    <x v="0"/>
    <n v="300.95"/>
    <x v="3"/>
  </r>
  <r>
    <d v="2023-08-24T00:00:00"/>
    <s v="VISA AVGAS Cuers"/>
    <x v="0"/>
    <n v="96.23"/>
    <x v="3"/>
  </r>
  <r>
    <d v="2023-08-17T00:00:00"/>
    <s v="VISA Taxes Reims"/>
    <x v="0"/>
    <n v="13.43"/>
    <x v="3"/>
  </r>
  <r>
    <d v="2023-08-24T00:00:00"/>
    <s v="VISA handling Santander"/>
    <x v="0"/>
    <n v="116.31"/>
    <x v="3"/>
  </r>
  <r>
    <d v="2023-09-03T00:00:00"/>
    <s v="Avance sep 2023"/>
    <x v="0"/>
    <n v="1500"/>
    <x v="3"/>
  </r>
  <r>
    <d v="2023-09-10T00:00:00"/>
    <s v="Handling Annecy"/>
    <x v="2"/>
    <n v="67.790000000000006"/>
    <x v="3"/>
  </r>
  <r>
    <d v="2023-09-12T00:00:00"/>
    <s v="Hangar contrib LX-ARA"/>
    <x v="4"/>
    <n v="347.44"/>
    <x v="3"/>
  </r>
  <r>
    <d v="2023-09-14T00:00:00"/>
    <s v="Contribution Annecy"/>
    <x v="2"/>
    <n v="1100"/>
    <x v="3"/>
  </r>
  <r>
    <d v="2023-10-02T00:00:00"/>
    <s v="Avance oct 2023"/>
    <x v="0"/>
    <n v="1500"/>
    <x v="3"/>
  </r>
  <r>
    <d v="2023-10-12T00:00:00"/>
    <s v="Hangar contrib LX-ARA"/>
    <x v="4"/>
    <n v="347.44"/>
    <x v="3"/>
  </r>
  <r>
    <d v="2023-11-02T00:00:00"/>
    <s v="Avance nov 2023"/>
    <x v="0"/>
    <n v="1500"/>
    <x v="3"/>
  </r>
  <r>
    <d v="2023-11-13T00:00:00"/>
    <s v="Hangar contrib LX-ARA"/>
    <x v="4"/>
    <n v="347.44"/>
    <x v="3"/>
  </r>
  <r>
    <d v="2023-12-02T00:00:00"/>
    <s v="Avance dec 2023"/>
    <x v="0"/>
    <n v="1500"/>
    <x v="3"/>
  </r>
  <r>
    <d v="2023-12-12T00:00:00"/>
    <s v="Hangar contrib LX-ARA"/>
    <x v="4"/>
    <n v="347.44"/>
    <x v="3"/>
  </r>
  <r>
    <d v="2024-02-02T00:00:00"/>
    <s v="Avance jan 2024"/>
    <x v="0"/>
    <n v="1500"/>
    <x v="4"/>
  </r>
  <r>
    <d v="2024-01-12T00:00:00"/>
    <s v="Hangar contrib LX-ARA"/>
    <x v="4"/>
    <n v="359.62"/>
    <x v="4"/>
  </r>
  <r>
    <d v="2024-02-02T00:00:00"/>
    <s v="Avance fev 2024"/>
    <x v="0"/>
    <n v="1500"/>
    <x v="4"/>
  </r>
  <r>
    <d v="2024-02-12T00:00:00"/>
    <s v="Hangar contrib LX-ARA"/>
    <x v="4"/>
    <n v="359.62"/>
    <x v="4"/>
  </r>
  <r>
    <d v="2024-03-01T00:00:00"/>
    <s v="Avance mar 2024"/>
    <x v="0"/>
    <n v="1500"/>
    <x v="4"/>
  </r>
  <r>
    <d v="2024-03-12T00:00:00"/>
    <s v="Hangar contrib LX-ARA"/>
    <x v="4"/>
    <n v="359.62"/>
    <x v="4"/>
  </r>
  <r>
    <d v="2024-04-02T00:00:00"/>
    <s v="Avance avril 2024"/>
    <x v="0"/>
    <n v="1500"/>
    <x v="4"/>
  </r>
  <r>
    <d v="2024-04-12T00:00:00"/>
    <s v="Hangar contrib LX-ARA"/>
    <x v="4"/>
    <n v="359.62"/>
    <x v="4"/>
  </r>
  <r>
    <d v="2024-04-15T00:00:00"/>
    <s v="Apport de trésorerie"/>
    <x v="0"/>
    <n v="9000"/>
    <x v="4"/>
  </r>
  <r>
    <d v="2024-05-02T00:00:00"/>
    <s v="Avance exceptionnelle avril"/>
    <x v="0"/>
    <n v="1500"/>
    <x v="4"/>
  </r>
  <r>
    <d v="2024-05-02T00:00:00"/>
    <s v="Avance mai 2024"/>
    <x v="0"/>
    <n v="1500"/>
    <x v="4"/>
  </r>
  <r>
    <d v="2024-05-13T00:00:00"/>
    <s v="Hangar contrib LX-ARA"/>
    <x v="4"/>
    <n v="359.62"/>
    <x v="4"/>
  </r>
  <r>
    <d v="2024-06-03T00:00:00"/>
    <s v="Avance juin 2024"/>
    <x v="0"/>
    <n v="1500"/>
    <x v="4"/>
  </r>
  <r>
    <d v="2024-06-03T00:00:00"/>
    <s v="Compléments maintenance"/>
    <x v="0"/>
    <n v="15000"/>
    <x v="4"/>
  </r>
  <r>
    <d v="2024-06-12T00:00:00"/>
    <s v="Hangar contrib LX-ARA"/>
    <x v="0"/>
    <n v="359.62"/>
    <x v="4"/>
  </r>
  <r>
    <d v="2024-07-01T00:00:00"/>
    <s v="Avance juillet 2024"/>
    <x v="0"/>
    <n v="1500"/>
    <x v="4"/>
  </r>
  <r>
    <d v="2024-07-03T00:00:00"/>
    <s v="taxes Chambéry &amp; Mallorca VT"/>
    <x v="0"/>
    <n v="142.55000000000001"/>
    <x v="4"/>
  </r>
  <r>
    <d v="2024-07-12T00:00:00"/>
    <s v="Hangar contrib LX-ARA"/>
    <x v="4"/>
    <n v="359.62"/>
    <x v="4"/>
  </r>
  <r>
    <d v="2024-07-14T00:00:00"/>
    <s v="Taxe Rothenburg"/>
    <x v="2"/>
    <n v="10"/>
    <x v="4"/>
  </r>
  <r>
    <d v="2024-07-18T00:00:00"/>
    <s v="Taxe Breda"/>
    <x v="0"/>
    <n v="34"/>
    <x v="4"/>
  </r>
  <r>
    <d v="2024-07-19T00:00:00"/>
    <s v="Contribution AVGAS Mallorca"/>
    <x v="0"/>
    <n v="925.22"/>
    <x v="4"/>
  </r>
  <r>
    <d v="2024-07-21T00:00:00"/>
    <s v="Avance sur compte"/>
    <x v="2"/>
    <n v="800"/>
    <x v="4"/>
  </r>
  <r>
    <d v="2024-07-22T00:00:00"/>
    <s v="VISA VT Jeppesen GTN650"/>
    <x v="0"/>
    <n v="467.67"/>
    <x v="4"/>
  </r>
  <r>
    <d v="2024-08-01T00:00:00"/>
    <s v="Avance août 2024"/>
    <x v="0"/>
    <n v="1500"/>
    <x v="4"/>
  </r>
  <r>
    <d v="2024-08-06T00:00:00"/>
    <s v="Contribution Frais fixes"/>
    <x v="1"/>
    <n v="5971.75"/>
    <x v="4"/>
  </r>
  <r>
    <d v="2024-08-12T00:00:00"/>
    <s v="Taxe Chambéry"/>
    <x v="0"/>
    <n v="9.77"/>
    <x v="4"/>
  </r>
  <r>
    <d v="2024-08-12T00:00:00"/>
    <s v="Hangar contrib LX-ARA"/>
    <x v="4"/>
    <n v="359.62"/>
    <x v="4"/>
  </r>
  <r>
    <d v="2024-08-12T00:00:00"/>
    <s v="Crédit d'heures, 10% avion"/>
    <x v="1"/>
    <n v="18000"/>
    <x v="4"/>
  </r>
  <r>
    <d v="2024-08-15T00:00:00"/>
    <s v="AVGAS Mimizan"/>
    <x v="2"/>
    <n v="456.68"/>
    <x v="4"/>
  </r>
  <r>
    <d v="2024-08-15T00:00:00"/>
    <s v="Taxe Mimizan"/>
    <x v="2"/>
    <n v="20"/>
    <x v="4"/>
  </r>
  <r>
    <d v="2024-08-22T00:00:00"/>
    <s v="Heures de vol"/>
    <x v="2"/>
    <n v="1500"/>
    <x v="4"/>
  </r>
  <r>
    <d v="2024-08-23T00:00:00"/>
    <s v="Taxe Annecy"/>
    <x v="0"/>
    <n v="21.17"/>
    <x v="4"/>
  </r>
  <r>
    <d v="2024-08-26T00:00:00"/>
    <s v="Contribution Pax CARON"/>
    <x v="0"/>
    <n v="211"/>
    <x v="4"/>
  </r>
  <r>
    <d v="2024-08-26T00:00:00"/>
    <s v="Rembt GZ &gt; VTK Rothenburg"/>
    <x v="0"/>
    <n v="46.5"/>
    <x v="4"/>
  </r>
  <r>
    <d v="2024-09-01T00:00:00"/>
    <s v="Taxe Portoroz"/>
    <x v="0"/>
    <n v="98.6"/>
    <x v="4"/>
  </r>
  <r>
    <d v="2024-09-01T00:00:00"/>
    <s v="AVGAS Portoroz"/>
    <x v="0"/>
    <n v="147.66"/>
    <x v="4"/>
  </r>
  <r>
    <d v="2024-09-01T00:00:00"/>
    <s v="Avance septembre 2024"/>
    <x v="0"/>
    <n v="1500"/>
    <x v="4"/>
  </r>
  <r>
    <d v="2024-09-12T00:00:00"/>
    <s v="Hangar contrib LX-ARA"/>
    <x v="4"/>
    <n v="359.62"/>
    <x v="4"/>
  </r>
  <r>
    <d v="2024-10-02T00:00:00"/>
    <s v="Avance octobre 2024"/>
    <x v="0"/>
    <n v="1500"/>
    <x v="4"/>
  </r>
  <r>
    <d v="2024-10-14T00:00:00"/>
    <s v="Hangar contrib LX-ARA"/>
    <x v="4"/>
    <n v="359.62"/>
    <x v="4"/>
  </r>
  <r>
    <d v="2024-11-04T00:00:00"/>
    <s v="Avance novembre 2024"/>
    <x v="0"/>
    <n v="1500"/>
    <x v="4"/>
  </r>
  <r>
    <d v="2024-11-12T00:00:00"/>
    <s v="Hangar contrib LX-ARA"/>
    <x v="4"/>
    <n v="359.62"/>
    <x v="4"/>
  </r>
  <r>
    <d v="2024-12-02T00:00:00"/>
    <s v="Contrib AVGAS Reims"/>
    <x v="0"/>
    <n v="325.72000000000003"/>
    <x v="4"/>
  </r>
  <r>
    <d v="2024-12-02T00:00:00"/>
    <s v="Contrib Taxes Reims"/>
    <x v="0"/>
    <n v="17.04"/>
    <x v="4"/>
  </r>
  <r>
    <d v="2024-12-02T00:00:00"/>
    <s v="Avance decembre 2024"/>
    <x v="0"/>
    <n v="1500"/>
    <x v="4"/>
  </r>
  <r>
    <d v="2024-12-02T00:00:00"/>
    <s v="Parking Le Bourget"/>
    <x v="0"/>
    <n v="300"/>
    <x v="4"/>
  </r>
  <r>
    <d v="2024-12-12T00:00:00"/>
    <s v="Hangar contrib LX-ARA"/>
    <x v="4"/>
    <n v="359.62"/>
    <x v="4"/>
  </r>
  <r>
    <d v="2025-01-02T00:00:00"/>
    <s v="Avance jan 2025"/>
    <x v="0"/>
    <n v="2000"/>
    <x v="5"/>
  </r>
  <r>
    <d v="2025-02-01T00:00:00"/>
    <s v="Avance fev 2025"/>
    <x v="0"/>
    <n v="2000"/>
    <x v="5"/>
  </r>
  <r>
    <d v="2025-03-03T00:00:00"/>
    <s v="Avance mar 2025"/>
    <x v="0"/>
    <n v="2000"/>
    <x v="5"/>
  </r>
  <r>
    <d v="2025-03-11T00:00:00"/>
    <s v="Paiement HdV"/>
    <x v="2"/>
    <n v="220"/>
    <x v="5"/>
  </r>
  <r>
    <d v="2025-03-12T00:00:00"/>
    <s v="Hangar contrib LX-ARA"/>
    <x v="4"/>
    <n v="364.62"/>
    <x v="5"/>
  </r>
  <r>
    <d v="2025-03-14T00:00:00"/>
    <s v="Resto GCGD "/>
    <x v="1"/>
    <n v="-392"/>
    <x v="5"/>
  </r>
  <r>
    <d v="2025-03-18T00:00:00"/>
    <s v="Resto GCGD 2024 Oktoberfest"/>
    <x v="1"/>
    <n v="-375"/>
    <x v="5"/>
  </r>
  <r>
    <d v="2025-04-03T00:00:00"/>
    <s v="Avance avr 2025"/>
    <x v="0"/>
    <n v="3000"/>
    <x v="5"/>
  </r>
  <r>
    <d v="2025-05-03T00:00:00"/>
    <s v="Avance mai 2025"/>
    <x v="0"/>
    <n v="3000"/>
    <x v="5"/>
  </r>
  <r>
    <d v="2025-06-03T00:00:00"/>
    <s v="Paiement GAM avec existant"/>
    <x v="0"/>
    <n v="0"/>
    <x v="5"/>
  </r>
  <r>
    <d v="2025-06-05T00:00:00"/>
    <s v="Avance juin 2025"/>
    <x v="0"/>
    <n v="3000"/>
    <x v="5"/>
  </r>
  <r>
    <d v="2025-06-06T00:00:00"/>
    <s v="Paiement Aerops Perpignan"/>
    <x v="0"/>
    <n v="19.66"/>
    <x v="5"/>
  </r>
  <r>
    <d v="2025-06-06T00:00:00"/>
    <s v="AVGAS Muchamiel en VISA"/>
    <x v="0"/>
    <n v="361.23"/>
    <x v="5"/>
  </r>
  <r>
    <d v="2025-06-09T00:00:00"/>
    <s v="Paiement taxes Muchamiel"/>
    <x v="0"/>
    <n v="43.56"/>
    <x v="5"/>
  </r>
  <r>
    <d v="2025-06-09T00:00:00"/>
    <s v="Paiement taxes Béziers"/>
    <x v="0"/>
    <n v="8.4"/>
    <x v="5"/>
  </r>
  <r>
    <d v="2025-06-17T00:00:00"/>
    <s v="Contribution Alicante"/>
    <x v="2"/>
    <n v="1500"/>
    <x v="5"/>
  </r>
  <r>
    <d v="2025-06-18T00:00:00"/>
    <s v="Resto GCGD "/>
    <x v="1"/>
    <n v="-220"/>
    <x v="5"/>
  </r>
  <r>
    <d v="2025-07-01T00:00:00"/>
    <s v="Contribution aux vols"/>
    <x v="2"/>
    <n v="500"/>
    <x v="5"/>
  </r>
  <r>
    <d v="2025-07-01T00:00:00"/>
    <s v="Avance juillet 2025"/>
    <x v="0"/>
    <n v="3000"/>
    <x v="5"/>
  </r>
  <r>
    <d v="2025-07-03T00:00:00"/>
    <s v="AVGAS Aubenas en VISA"/>
    <x v="0"/>
    <n v="234.47"/>
    <x v="5"/>
  </r>
  <r>
    <d v="2025-07-10T00:00:00"/>
    <s v="Paiement Aerops Perpignan"/>
    <x v="0"/>
    <n v="20.76"/>
    <x v="5"/>
  </r>
  <r>
    <d v="2025-07-11T00:00:00"/>
    <s v="Contribution vol Ardèche"/>
    <x v="2"/>
    <n v="700"/>
    <x v="5"/>
  </r>
  <r>
    <d v="2025-07-29T00:00:00"/>
    <s v="Contrib Matthew Stockwell"/>
    <x v="0"/>
    <n v="461.34"/>
    <x v="5"/>
  </r>
  <r>
    <d v="2025-07-30T00:00:00"/>
    <s v="Contribution trésorerie"/>
    <x v="0"/>
    <n v="2500"/>
    <x v="5"/>
  </r>
  <r>
    <d v="2025-08-03T00:00:00"/>
    <s v="Contribution trésorerie"/>
    <x v="0"/>
    <n v="3000"/>
    <x v="5"/>
  </r>
  <r>
    <d v="2025-08-13T00:00:00"/>
    <s v="Contribution trésorerie"/>
    <x v="0"/>
    <n v="1000"/>
    <x v="5"/>
  </r>
  <r>
    <d v="2025-08-03T00:00:00"/>
    <s v="Avance août 2025"/>
    <x v="0"/>
    <n v="705.27"/>
    <x v="5"/>
  </r>
  <r>
    <d v="2025-08-19T00:00:00"/>
    <s v="Contrib Chantal Colling"/>
    <x v="0"/>
    <n v="705.27"/>
    <x v="5"/>
  </r>
  <r>
    <d v="2025-09-01T00:00:00"/>
    <s v="Avance septembre 2025"/>
    <x v="0"/>
    <n v="3000"/>
    <x v="5"/>
  </r>
  <r>
    <d v="2025-09-05T00:00:00"/>
    <s v="Contribution trésorerie"/>
    <x v="0"/>
    <n v="1500"/>
    <x v="5"/>
  </r>
  <r>
    <d v="2025-09-06T00:00:00"/>
    <s v="Paiement AVGAS Portoroz"/>
    <x v="0"/>
    <n v="230"/>
    <x v="5"/>
  </r>
  <r>
    <d v="2025-09-07T00:00:00"/>
    <s v="Paiement Taxes Portoroz"/>
    <x v="0"/>
    <n v="112"/>
    <x v="5"/>
  </r>
  <r>
    <d v="2025-09-27T00:00:00"/>
    <s v="Paiement taxes Aix"/>
    <x v="0"/>
    <n v="44.04"/>
    <x v="5"/>
  </r>
  <r>
    <d v="2025-09-28T00:00:00"/>
    <s v="Paiement AVGAS Aix"/>
    <x v="0"/>
    <n v="83.73"/>
    <x v="5"/>
  </r>
  <r>
    <d v="2025-09-30T00:00:00"/>
    <s v="Renflouage exceptionnel compte"/>
    <x v="0"/>
    <n v="1000"/>
    <x v="5"/>
  </r>
  <r>
    <d v="2025-10-01T00:00:00"/>
    <s v="Avance octobre 2025"/>
    <x v="0"/>
    <n v="3000"/>
    <x v="5"/>
  </r>
  <r>
    <d v="2025-10-06T00:00:00"/>
    <s v="Renflouage de précaution"/>
    <x v="0"/>
    <n v="1000"/>
    <x v="5"/>
  </r>
  <r>
    <d v="2025-11-03T00:00:00"/>
    <s v="Avance novembre 2025"/>
    <x v="0"/>
    <n v="3000"/>
    <x v="5"/>
  </r>
  <r>
    <d v="2025-12-01T00:00:00"/>
    <s v="Avance décembre 2025"/>
    <x v="0"/>
    <n v="3000"/>
    <x v="5"/>
  </r>
  <r>
    <d v="2025-12-10T00:00:00"/>
    <s v="Resto GCGD "/>
    <x v="1"/>
    <n v="-350"/>
    <x v="5"/>
  </r>
  <r>
    <d v="2026-01-02T00:00:00"/>
    <s v="Avance janvier 2026"/>
    <x v="0"/>
    <n v="3000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d v="2020-03-07T00:00:00"/>
    <s v="Log"/>
    <s v="Guy"/>
    <x v="0"/>
    <s v="ELLX"/>
    <d v="1899-12-30T16:25:00"/>
    <s v="ELLX"/>
    <d v="1899-12-30T17:15:00"/>
    <n v="1076.5999999999999"/>
    <n v="1077.5"/>
    <s v="Owner"/>
    <s v="IFR"/>
    <s v="Guy Training Mooney, owner price agreed"/>
    <x v="0"/>
    <n v="0.90000000000009095"/>
    <n v="579.41357142859238"/>
    <n v="158"/>
    <n v="92.016216839676275"/>
    <n v="61.436521739130434"/>
    <n v="1041.3592547143326"/>
    <n v="280.30746472095439"/>
  </r>
  <r>
    <d v="2020-09-09T00:00:00"/>
    <s v="Log"/>
    <s v="Vu Tien"/>
    <x v="1"/>
    <s v="ELLX"/>
    <d v="1899-12-30T17:04:00"/>
    <s v="ELLX"/>
    <d v="1899-12-30T18:25:00"/>
    <n v="1093.2"/>
    <n v="1094.2"/>
    <s v="Owner"/>
    <s v="VFR"/>
    <s v="VFR check avec Jos"/>
    <x v="0"/>
    <n v="1"/>
    <n v="643.79285714281536"/>
    <n v="158"/>
    <n v="92.016216839676275"/>
    <n v="61.436521739130434"/>
    <n v="1157.0658385713637"/>
    <n v="311.4527385788067"/>
  </r>
  <r>
    <d v="2020-12-25T00:00:00"/>
    <s v="Log"/>
    <s v="Vu Tien"/>
    <x v="1"/>
    <s v="ELLX"/>
    <d v="1899-12-30T09:55:00"/>
    <s v="ELLX"/>
    <d v="1899-12-30T10:45:00"/>
    <n v="1108.3"/>
    <n v="1109.2"/>
    <s v="Owner"/>
    <s v="VFR"/>
    <s v="Cross-country LFJL-ELLX"/>
    <x v="0"/>
    <n v="0.90000000000009095"/>
    <n v="579.41357142859238"/>
    <n v="158"/>
    <n v="92.016216839676275"/>
    <n v="61.436521739130434"/>
    <n v="1041.3592547143326"/>
    <n v="280.30746472095439"/>
  </r>
  <r>
    <d v="2021-03-26T00:00:00"/>
    <s v="Log"/>
    <s v="Vu Tien"/>
    <x v="1"/>
    <s v="ELLX"/>
    <d v="1899-12-30T12:52:00"/>
    <s v="LFJL"/>
    <d v="1899-12-30T13:34:00"/>
    <n v="1122.5"/>
    <n v="1123.4000000000001"/>
    <s v="Owner"/>
    <s v="IFR"/>
    <s v="VuTien training IFR"/>
    <x v="1"/>
    <n v="0.90000000000009095"/>
    <n v="1242.7966666667712"/>
    <n v="158"/>
    <n v="92.016216839676275"/>
    <n v="999.06583857136366"/>
    <n v="2421.5633333335395"/>
    <n v="1124.1738498700495"/>
  </r>
  <r>
    <d v="2021-05-28T00:00:00"/>
    <s v="Log"/>
    <s v="Vu Tien"/>
    <x v="1"/>
    <s v="LFJL"/>
    <d v="1899-12-30T09:45:00"/>
    <s v="ELLX"/>
    <d v="1899-12-30T10:15:00"/>
    <n v="1139"/>
    <n v="1139.5"/>
    <s v="Owner"/>
    <s v="IFR"/>
    <s v="VuTien check-flight IFR"/>
    <x v="1"/>
    <n v="0.5"/>
    <n v="690.44259259258092"/>
    <n v="158"/>
    <n v="92.016216839676275"/>
    <n v="999.06583857136366"/>
    <n v="1345.3129629629416"/>
    <n v="624.54102770551992"/>
  </r>
  <r>
    <d v="2021-08-25T00:00:00"/>
    <s v="Log"/>
    <s v="Vu Tien"/>
    <x v="1"/>
    <s v="ELLX"/>
    <d v="1899-12-30T08:00:00"/>
    <s v="LFAB"/>
    <d v="1899-12-30T09:41:00"/>
    <n v="1156.9000000000001"/>
    <n v="1158.2"/>
    <s v="Owner"/>
    <s v="IFR"/>
    <s v="Dieppe"/>
    <x v="1"/>
    <n v="1.2999999999999545"/>
    <n v="1795.1507407406475"/>
    <n v="158"/>
    <n v="92.016216839676275"/>
    <n v="999.06583857136366"/>
    <n v="3497.8137037035253"/>
    <n v="1623.8066720342949"/>
  </r>
  <r>
    <d v="2022-01-30T00:00:00"/>
    <s v="Log"/>
    <s v="Vu Tien"/>
    <x v="1"/>
    <s v="LFJL"/>
    <d v="1899-12-30T10:55:00"/>
    <s v="ELLX"/>
    <d v="1899-12-30T11:35:00"/>
    <n v="1179.7"/>
    <n v="1180.4000000000001"/>
    <s v="Owner"/>
    <s v="IFR"/>
    <s v="VuTien training IFR"/>
    <x v="2"/>
    <n v="0.70000000000004547"/>
    <n v="1129.1269230769697"/>
    <n v="158"/>
    <n v="92.016216839676275"/>
    <n v="2532.6259259258832"/>
    <n v="3046.3335897437191"/>
    <n v="1947.8494999360182"/>
  </r>
  <r>
    <d v="2022-03-22T00:00:00"/>
    <s v="Log"/>
    <s v="Guy"/>
    <x v="0"/>
    <s v="LFJY"/>
    <d v="1899-12-30T19:55:00"/>
    <s v="ELLX"/>
    <d v="1899-12-30T20:50:05"/>
    <n v="1196.3"/>
    <n v="1197.0999999999999"/>
    <s v="Guest"/>
    <s v="Zulu"/>
    <s v="Chambley with Guy"/>
    <x v="2"/>
    <n v="0.79999999999995453"/>
    <n v="1290.4307692306652"/>
    <n v="220"/>
    <n v="92.016216839676275"/>
    <n v="2532.6259259258832"/>
    <n v="3531.1241025638233"/>
    <n v="2275.7137142123183"/>
  </r>
  <r>
    <d v="2022-06-01T00:00:00"/>
    <s v="Log"/>
    <s v="Guy"/>
    <x v="0"/>
    <s v="ELLX"/>
    <d v="1899-12-30T16:00:00"/>
    <s v="ELLX"/>
    <d v="1899-12-30T17:30:00"/>
    <n v="1226.2"/>
    <n v="1227.4000000000001"/>
    <s v="Guest"/>
    <s v="IFR"/>
    <s v="Check avec Champeval"/>
    <x v="2"/>
    <n v="1.2000000000000455"/>
    <n v="1935.6461538461813"/>
    <n v="220"/>
    <n v="92.016216839676275"/>
    <n v="2532.6259259258832"/>
    <n v="5296.6861538462363"/>
    <n v="3413.5705713188008"/>
  </r>
  <r>
    <d v="2022-06-07T00:00:00"/>
    <s v="Log"/>
    <s v="CommonPot"/>
    <x v="2"/>
    <s v="ELLX"/>
    <d v="1899-12-30T08:00:00"/>
    <s v="ELLX"/>
    <d v="1899-12-30T16:00:00"/>
    <n v="1227.4000000000001"/>
    <n v="1227.4000000000001"/>
    <s v="Maintenance"/>
    <s v="VFR"/>
    <s v="50 heures"/>
    <x v="2"/>
    <n v="0"/>
    <n v="0"/>
    <n v="158"/>
    <n v="92.016216839676275"/>
    <n v="2532.6259259258832"/>
    <n v="0"/>
    <n v="0"/>
  </r>
  <r>
    <d v="2022-08-07T00:00:00"/>
    <s v="Log"/>
    <s v="Guy"/>
    <x v="0"/>
    <s v="ELLX"/>
    <d v="1899-12-30T09:10:00"/>
    <s v="LFSN"/>
    <d v="1899-12-30T10:25:00"/>
    <n v="1261.7"/>
    <n v="1262.8"/>
    <s v="Owner"/>
    <s v="IFR"/>
    <s v="Déjeuner Nancy Essey"/>
    <x v="2"/>
    <n v="1.0999999999999091"/>
    <n v="1774.3423076921188"/>
    <n v="158"/>
    <n v="92.016216839676275"/>
    <n v="2532.6259259258832"/>
    <n v="4787.0956410251365"/>
    <n v="3060.9063570418625"/>
  </r>
  <r>
    <d v="2022-11-29T00:00:00"/>
    <s v="Log"/>
    <s v="CommonPot"/>
    <x v="2"/>
    <s v="ELLX"/>
    <d v="1899-12-30T08:00:00"/>
    <s v="ELLX"/>
    <d v="1899-12-30T10:00:00"/>
    <n v="1294.5999999999999"/>
    <n v="1294.7"/>
    <s v="Maintenance"/>
    <s v="VFR"/>
    <s v="Overhaul Magnétos"/>
    <x v="2"/>
    <n v="0.10000000000013642"/>
    <n v="161.30384615406237"/>
    <n v="158"/>
    <n v="92.016216839676275"/>
    <n v="2532.6259259258832"/>
    <n v="435.19051282109666"/>
    <n v="278.2642142769356"/>
  </r>
  <r>
    <d v="2023-05-17T00:00:00"/>
    <s v="Log"/>
    <s v="Vu Tien"/>
    <x v="1"/>
    <s v="LFMU"/>
    <d v="1899-12-30T12:00:00"/>
    <s v="LEMU"/>
    <d v="1899-12-30T14:27:00"/>
    <n v="1322.3"/>
    <n v="1324.6"/>
    <s v="Owner"/>
    <s v="IFR"/>
    <s v="Alicante Mutxamel"/>
    <x v="3"/>
    <n v="2.2999999999999545"/>
    <n v="1285.7969879517887"/>
    <n v="0"/>
    <n v="92.016216839676275"/>
    <n v="4193.9051282050305"/>
    <n v="3169.4110843373041"/>
    <n v="9857.6190936026305"/>
  </r>
  <r>
    <d v="2023-06-17T00:00:00"/>
    <s v="Log"/>
    <s v="Dominique"/>
    <x v="3"/>
    <s v="LFBA"/>
    <d v="1899-12-30T14:20:00"/>
    <s v="ELLX"/>
    <d v="1899-12-30T15:57:00"/>
    <n v="1336.3"/>
    <n v="1338.9"/>
    <s v="Guest"/>
    <s v="IFR"/>
    <s v="Dominique Agen"/>
    <x v="3"/>
    <n v="2.6000000000001364"/>
    <n v="1453.5096385543009"/>
    <n v="220"/>
    <n v="92.016216839676275"/>
    <n v="4193.9051282050305"/>
    <n v="4154.8125301207201"/>
    <n v="11715.395497116853"/>
  </r>
  <r>
    <d v="2023-07-27T00:00:00"/>
    <s v="Log"/>
    <s v="Vu Tien"/>
    <x v="1"/>
    <s v="LJPZ"/>
    <d v="1899-12-30T09:36:00"/>
    <s v="ELLX"/>
    <d v="1899-12-30T13:15:00"/>
    <n v="1354.2"/>
    <n v="1357.6"/>
    <s v="Owner"/>
    <s v="IFR"/>
    <s v="Portoroz Luxembourg"/>
    <x v="3"/>
    <n v="3.3999999999998636"/>
    <n v="1900.7433734939098"/>
    <n v="0"/>
    <n v="92.016216839676275"/>
    <n v="4193.9051282050305"/>
    <n v="4685.2163855420058"/>
    <n v="14572.132573151419"/>
  </r>
  <r>
    <d v="2024-03-22T00:00:00"/>
    <s v="Log"/>
    <s v="Vu Tien"/>
    <x v="1"/>
    <s v="ELLX"/>
    <d v="1899-12-30T12:35:00"/>
    <s v="LFJL"/>
    <d v="1899-12-30T14:14:00"/>
    <n v="1382.3"/>
    <n v="1383.9"/>
    <s v="Owner"/>
    <s v="IFR"/>
    <s v="Practice with Champeval"/>
    <x v="4"/>
    <n v="1.6000000000001364"/>
    <n v="1751.6463157895391"/>
    <n v="0"/>
    <n v="92.016216839676275"/>
    <n v="1378.004819277116"/>
    <n v="4124.280673684365"/>
    <n v="2352.033657787068"/>
  </r>
  <r>
    <d v="2024-08-11T00:00:00"/>
    <s v="Log"/>
    <s v="Vu Tien"/>
    <x v="4"/>
    <s v="LFLP"/>
    <d v="1899-12-30T14:00:00"/>
    <s v="ELLX"/>
    <d v="1899-12-30T15:46:00"/>
    <n v="1415"/>
    <n v="1416.7"/>
    <s v="Guest"/>
    <s v="IFR"/>
    <s v="Annecy Nadia"/>
    <x v="4"/>
    <n v="1.7000000000000455"/>
    <n v="1861.1242105262763"/>
    <n v="220"/>
    <n v="92.016216839676275"/>
    <n v="1378.004819277116"/>
    <n v="4756.0482157893912"/>
    <n v="2873.0357613986234"/>
  </r>
  <r>
    <d v="2024-11-29T00:00:00"/>
    <s v="Log"/>
    <s v="Vu Tien"/>
    <x v="1"/>
    <s v="LFJL"/>
    <d v="1899-12-30T20:07:00"/>
    <s v="ELLX"/>
    <d v="1899-12-30T20:40:00"/>
    <n v="1451.2"/>
    <n v="1451.7"/>
    <s v="Owner"/>
    <s v="IFR"/>
    <s v="Practice Lorraine nuit"/>
    <x v="4"/>
    <n v="0.5"/>
    <n v="547.38947368418428"/>
    <n v="0"/>
    <n v="92.016216839676275"/>
    <n v="1378.004819277116"/>
    <n v="1288.8377105262541"/>
    <n v="735.01051805839609"/>
  </r>
  <r>
    <d v="2025-06-21T00:00:00"/>
    <s v="Log"/>
    <s v="Vu Tien"/>
    <x v="1"/>
    <s v="ELLX"/>
    <d v="1899-12-30T09:30:00"/>
    <s v="LFEL"/>
    <d v="1899-12-30T11:36:00"/>
    <n v="1481"/>
    <n v="1483.1"/>
    <s v="Owner"/>
    <s v="Yankee"/>
    <s v="Le Blanc Journée Portes Ouvertes"/>
    <x v="5"/>
    <n v="2.0999999999999091"/>
    <n v="1876.5646666666805"/>
    <n v="0"/>
    <n v="92.016216839676275"/>
    <n v="2577.6754210525082"/>
    <n v="4115.1964000000289"/>
    <n v="5606.3524395733448"/>
  </r>
  <r>
    <d v="2025-09-27T00:00:00"/>
    <s v="Log"/>
    <s v="Vu Tien"/>
    <x v="1"/>
    <s v="ELLX"/>
    <d v="1899-12-30T09:05:00"/>
    <s v="LFMA"/>
    <d v="1899-12-30T11:38:00"/>
    <n v="1523.2"/>
    <n v="1525.6"/>
    <s v="Owner"/>
    <s v="Zulu"/>
    <s v="Aix-en-Provence Olivier &amp; Ludivine"/>
    <x v="5"/>
    <n v="2.3999999999998636"/>
    <n v="2144.6453333333202"/>
    <n v="0"/>
    <n v="92.016216839676275"/>
    <n v="2577.6754210525082"/>
    <n v="4703.0815999999695"/>
    <n v="6407.2599309408788"/>
  </r>
  <r>
    <d v="2026-01-01T00:00:00"/>
    <s v="Log"/>
    <s v="Vu Tien"/>
    <x v="1"/>
    <s v="ELLX"/>
    <m/>
    <s v="ELLX"/>
    <m/>
    <n v="1535"/>
    <n v="1535.01"/>
    <s v="Owner"/>
    <s v="VFR"/>
    <s v="Placeholder 2026"/>
    <x v="6"/>
    <n v="9.9999999999909051E-3"/>
    <n v="3.7037037037037034E-3"/>
    <n v="0"/>
    <n v="92.016216839676275"/>
    <n v="1959.617333333432"/>
    <n v="0.93016216839592591"/>
    <n v="20.5163355017124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d v="2018-01-09T00:00:00"/>
    <s v="Invoice insurance 20180109 of 9 January 2018"/>
    <s v="Assurance Allianz 2018 (taxe 4%)"/>
    <x v="0"/>
    <n v="0"/>
    <s v="Jacques"/>
    <s v="Jacques"/>
    <m/>
    <m/>
    <m/>
    <x v="0"/>
    <x v="0"/>
    <n v="0"/>
    <n v="0"/>
  </r>
  <r>
    <d v="2018-04-28T00:00:00"/>
    <s v="Cigar Lighter placard replaced time 0,25 h"/>
    <s v="GAM Invoice 2017337A of 23 Apr 2018"/>
    <x v="1"/>
    <n v="0.25"/>
    <s v="Jacques"/>
    <s v="Jacques"/>
    <m/>
    <m/>
    <n v="0.17"/>
    <x v="0"/>
    <x v="0"/>
    <n v="0"/>
    <n v="0"/>
  </r>
  <r>
    <d v="2018-10-22T00:00:00"/>
    <s v="2 x Tubes"/>
    <s v="GAM Invoice 2018291 of 22 Oct 2018"/>
    <x v="2"/>
    <n v="0"/>
    <s v="Jacques"/>
    <s v="Jacques"/>
    <m/>
    <n v="118.97"/>
    <n v="0.17"/>
    <x v="0"/>
    <x v="0"/>
    <n v="20.224900000000002"/>
    <n v="139.19489999999999"/>
  </r>
  <r>
    <d v="2018-11-22T00:00:00"/>
    <s v="Maintenance Management labor 3 h"/>
    <s v="GAM Invoice 2018231AMP of 8 Nov 2018"/>
    <x v="1"/>
    <n v="3"/>
    <s v="Jacques"/>
    <s v="Jacques"/>
    <m/>
    <m/>
    <n v="0.17"/>
    <x v="0"/>
    <x v="0"/>
    <n v="0"/>
    <n v="0"/>
  </r>
  <r>
    <d v="2018-10-11T00:00:00"/>
    <s v="Handling Split 11/10/2018"/>
    <s v="Handling Split 11/10/2018"/>
    <x v="3"/>
    <n v="0"/>
    <s v="Vu Tien"/>
    <s v="CommonPot"/>
    <m/>
    <n v="110.1"/>
    <n v="0"/>
    <x v="0"/>
    <x v="1"/>
    <n v="0"/>
    <n v="110.1"/>
  </r>
  <r>
    <d v="2019-02-19T00:00:00"/>
    <s v="Airspeed indicator test echanic costs 1,5 h"/>
    <s v="GAM Invoice 2018343 of 19 February 2019"/>
    <x v="2"/>
    <n v="0"/>
    <s v="Vu Tien"/>
    <s v="CommonPot"/>
    <m/>
    <n v="136"/>
    <n v="0.17"/>
    <x v="1"/>
    <x v="0"/>
    <n v="23.12"/>
    <n v="159.12"/>
  </r>
  <r>
    <d v="2019-12-02T00:00:00"/>
    <s v="Hard landing: prepayment 2"/>
    <s v="GAM Invoice 2019061 of 2 December 2019"/>
    <x v="4"/>
    <n v="0"/>
    <s v="Vu Tien"/>
    <s v="CommonPot"/>
    <m/>
    <n v="-20703"/>
    <n v="0.17"/>
    <x v="1"/>
    <x v="2"/>
    <n v="-3519.51"/>
    <n v="-24222.510000000002"/>
  </r>
  <r>
    <d v="2020-01-02T00:00:00"/>
    <s v="Overhaul: 02 bottle freight"/>
    <s v="GAM Invoice 2019343 of 2 December 2019"/>
    <x v="5"/>
    <n v="0"/>
    <s v="Vu Tien"/>
    <s v="CommonPot"/>
    <m/>
    <n v="180"/>
    <n v="0.17"/>
    <x v="2"/>
    <x v="0"/>
    <n v="30.6"/>
    <n v="210.6"/>
  </r>
  <r>
    <d v="2020-01-02T00:00:00"/>
    <s v="AD: Airworthiness directive on Bendix ignition switch costs 3 h + 0,25 h"/>
    <s v="GAM Invoice 2019343 of 2 December 2019"/>
    <x v="6"/>
    <n v="0"/>
    <s v="Vu Tien"/>
    <s v="CommonPot"/>
    <m/>
    <n v="282.25"/>
    <n v="0.17"/>
    <x v="2"/>
    <x v="0"/>
    <n v="47.982500000000002"/>
    <n v="330.23250000000002"/>
  </r>
  <r>
    <d v="2020-06-16T00:00:00"/>
    <s v="GAM Invoice 2020093A of 16 June 2020"/>
    <s v="GAM Invoice 2020093A of 16 June 2020"/>
    <x v="7"/>
    <n v="0"/>
    <s v="Vu Tien"/>
    <s v="CommonPot"/>
    <m/>
    <m/>
    <m/>
    <x v="2"/>
    <x v="2"/>
    <n v="0"/>
    <n v="0"/>
  </r>
  <r>
    <d v="2021-01-07T00:00:00"/>
    <s v="Maintenance: Gasket"/>
    <s v="GAM Invoice 2020296 of 7 January 2021"/>
    <x v="8"/>
    <n v="0"/>
    <s v="Vu Tien"/>
    <s v="CommonPot"/>
    <m/>
    <n v="13.12"/>
    <n v="0.17"/>
    <x v="3"/>
    <x v="0"/>
    <n v="2.2303999999999999"/>
    <n v="15.350399999999999"/>
  </r>
  <r>
    <d v="2021-03-05T00:00:00"/>
    <s v="Assurance: Ristourne"/>
    <s v="Assurance: Ristourne"/>
    <x v="0"/>
    <n v="0"/>
    <s v="Vu Tien"/>
    <s v="CommonPot"/>
    <m/>
    <n v="-265"/>
    <n v="0.17"/>
    <x v="3"/>
    <x v="0"/>
    <n v="-45.050000000000004"/>
    <n v="-310.05"/>
  </r>
  <r>
    <d v="2021-08-17T00:00:00"/>
    <s v="Abonnement Jeppesen GTN650"/>
    <s v="Abonnement Jeppesen GTN650"/>
    <x v="9"/>
    <n v="0"/>
    <s v="Vu Tien"/>
    <s v="CommonPot"/>
    <m/>
    <n v="393"/>
    <n v="0.19"/>
    <x v="3"/>
    <x v="0"/>
    <n v="74.67"/>
    <n v="467.67"/>
  </r>
  <r>
    <d v="2021-12-09T00:00:00"/>
    <s v="Invoice 2021470AMP of 6 December 2021"/>
    <s v="Invoice 2021470AMP of 6 December 2021"/>
    <x v="10"/>
    <n v="0"/>
    <s v="Vu Tien"/>
    <s v="CommonPot"/>
    <m/>
    <m/>
    <m/>
    <x v="3"/>
    <x v="0"/>
    <n v="0"/>
    <n v="0"/>
  </r>
  <r>
    <d v="2022-02-04T00:00:00"/>
    <s v="Invoice TNC DAC of 7 Feb 2022"/>
    <s v="Invoice TNC DAC of 7 Feb 2022"/>
    <x v="3"/>
    <n v="0"/>
    <s v="Vu Tien"/>
    <s v="CommonPot"/>
    <m/>
    <m/>
    <m/>
    <x v="4"/>
    <x v="1"/>
    <n v="0"/>
    <n v="0"/>
  </r>
  <r>
    <d v="2022-03-29T00:00:00"/>
    <s v="Avionics: Troubleshooring avionics ILS GTN650-NAV2"/>
    <s v="Avionics: Troubleshooring avionics ILS GTN650-NAV2"/>
    <x v="11"/>
    <n v="0"/>
    <s v="Vu Tien"/>
    <s v="CommonPot"/>
    <m/>
    <n v="120"/>
    <n v="0.19"/>
    <x v="4"/>
    <x v="2"/>
    <n v="22.8"/>
    <n v="142.80000000000001"/>
  </r>
  <r>
    <d v="2022-07-04T00:00:00"/>
    <s v="Misc var: Taxes LuxAirport"/>
    <s v="Invoice LuxAirport of 24 Jun 2022"/>
    <x v="3"/>
    <n v="0"/>
    <s v="Vu Tien"/>
    <s v="CommonPot"/>
    <m/>
    <n v="70"/>
    <n v="0"/>
    <x v="4"/>
    <x v="1"/>
    <n v="0"/>
    <n v="70"/>
  </r>
  <r>
    <d v="2022-09-21T00:00:00"/>
    <s v="100h: Working hours costs 13,5"/>
    <s v="GAM Invoice 2022173 of 21 Sept 2022"/>
    <x v="12"/>
    <n v="0"/>
    <s v="Vu Tien"/>
    <s v="CommonPot"/>
    <m/>
    <n v="1269"/>
    <n v="0.17"/>
    <x v="4"/>
    <x v="1"/>
    <n v="215.73000000000002"/>
    <n v="1484.73"/>
  </r>
  <r>
    <d v="2022-10-01T00:00:00"/>
    <s v="Hangar: Octobre"/>
    <s v="Hangar: Octobre"/>
    <x v="13"/>
    <n v="0"/>
    <s v="Vu Tien"/>
    <s v="CommonPot"/>
    <m/>
    <n v="651.37"/>
    <n v="0"/>
    <x v="4"/>
    <x v="0"/>
    <n v="0"/>
    <n v="651.37"/>
  </r>
  <r>
    <d v="2023-02-02T00:00:00"/>
    <s v="Misc. Fixed: Radeau sauvetage Lalizas, Friebe Flugbedarf"/>
    <s v="Misc. Fixed: Radeau sauvetage Lalizas, Friebe Flugbedarf"/>
    <x v="14"/>
    <n v="0"/>
    <s v="Vu Tien"/>
    <s v="CommonPot"/>
    <m/>
    <n v="767.98"/>
    <n v="0.17"/>
    <x v="5"/>
    <x v="2"/>
    <n v="130.5566"/>
    <n v="898.53660000000002"/>
  </r>
  <r>
    <d v="2023-02-02T00:00:00"/>
    <s v="Variable material: Huile en bidon x8"/>
    <s v="Variable material: Huile en bidon x8"/>
    <x v="15"/>
    <n v="0"/>
    <s v="Vu Tien"/>
    <s v="CommonPot"/>
    <m/>
    <n v="97.55"/>
    <n v="0"/>
    <x v="5"/>
    <x v="1"/>
    <n v="0"/>
    <n v="97.55"/>
  </r>
  <r>
    <d v="2023-05-30T00:00:00"/>
    <s v="Hébergement LX-ARA janvier à mai inclus"/>
    <s v="Hébergement LX-ARA janvier à mai inclus"/>
    <x v="13"/>
    <n v="0"/>
    <s v="Vu Tien"/>
    <s v="CommonPot"/>
    <m/>
    <n v="-1737.2"/>
    <n v="0"/>
    <x v="5"/>
    <x v="0"/>
    <n v="0"/>
    <n v="-1737.2"/>
  </r>
  <r>
    <d v="2023-06-13T00:00:00"/>
    <s v="Exceptional: Shipment Oxygen bottle empty"/>
    <s v="GAM Invoice 2023081 of 3 Jun 2023 (CDN)"/>
    <x v="16"/>
    <n v="0"/>
    <s v="Vu Tien"/>
    <s v="CommonPot"/>
    <m/>
    <n v="65"/>
    <n v="0.16"/>
    <x v="5"/>
    <x v="2"/>
    <n v="10.4"/>
    <n v="75.400000000000006"/>
  </r>
  <r>
    <d v="2023-06-09T00:00:00"/>
    <s v="Taxes LuxAirport mai 2023"/>
    <s v="Taxes LuxAirport mai 2023"/>
    <x v="3"/>
    <n v="0"/>
    <s v="Vu Tien"/>
    <s v="CommonPot"/>
    <m/>
    <n v="49"/>
    <n v="0"/>
    <x v="5"/>
    <x v="1"/>
    <n v="0"/>
    <n v="49"/>
  </r>
  <r>
    <d v="2024-04-11T00:00:00"/>
    <s v="Brakes System hoses replace costs 7 h"/>
    <s v="GAM Invoice 2023199 of 4 Avr 2024"/>
    <x v="17"/>
    <n v="0"/>
    <s v="Vu Tien"/>
    <s v="CommonPot"/>
    <m/>
    <n v="721"/>
    <n v="0.17"/>
    <x v="6"/>
    <x v="2"/>
    <n v="122.57000000000001"/>
    <n v="843.57"/>
  </r>
  <r>
    <d v="2024-04-11T00:00:00"/>
    <s v="AEROSHELL 15W50 DRUM, 15W50 DRUM"/>
    <s v="GAM Invoice 2023199 of 4 Avr 2024"/>
    <x v="15"/>
    <n v="0"/>
    <s v="Vu Tien"/>
    <s v="CommonPot"/>
    <m/>
    <n v="295.04000000000002"/>
    <n v="0.17"/>
    <x v="6"/>
    <x v="1"/>
    <n v="50.156800000000004"/>
    <n v="345.19680000000005"/>
  </r>
  <r>
    <d v="2024-04-11T00:00:00"/>
    <s v="Hourly rate Rudder Trim repair costs 6,5 h"/>
    <s v="GAM Invoice 2023199 of 4 Avr 2024"/>
    <x v="2"/>
    <n v="0"/>
    <s v="Vu Tien"/>
    <s v="CommonPot"/>
    <m/>
    <n v="669.5"/>
    <n v="0.17"/>
    <x v="6"/>
    <x v="0"/>
    <n v="113.81500000000001"/>
    <n v="783.31500000000005"/>
  </r>
  <r>
    <d v="2024-04-11T00:00:00"/>
    <s v="Hourly rate GTN inspect costs 0,25 h"/>
    <s v="GAM Invoice 2023199 of 4 Avr 2024"/>
    <x v="12"/>
    <n v="0"/>
    <s v="Vu Tien"/>
    <s v="CommonPot"/>
    <m/>
    <n v="25.75"/>
    <n v="0.17"/>
    <x v="6"/>
    <x v="1"/>
    <n v="4.3775000000000004"/>
    <n v="30.127500000000001"/>
  </r>
  <r>
    <d v="2024-04-29T00:00:00"/>
    <s v="Taxes LuxAirport mai 2023"/>
    <s v="Taxes LuxAirport mai 2023"/>
    <x v="3"/>
    <n v="0"/>
    <s v="Vu Tien"/>
    <s v="CommonPot"/>
    <m/>
    <n v="56"/>
    <n v="0"/>
    <x v="6"/>
    <x v="1"/>
    <n v="0"/>
    <n v="56"/>
  </r>
  <r>
    <d v="2024-11-18T00:00:00"/>
    <s v="Pitot line bend under panel, repair 1,5h"/>
    <s v="GAM Invoice 2024413 of 18 November2024"/>
    <x v="2"/>
    <n v="1.5"/>
    <s v="Vu Tien"/>
    <s v="CommonPot"/>
    <m/>
    <n v="128.75"/>
    <n v="0.17"/>
    <x v="6"/>
    <x v="0"/>
    <n v="21.887500000000003"/>
    <n v="150.63749999999999"/>
  </r>
  <r>
    <d v="2024-12-12T00:00:00"/>
    <s v="Hourly rate aircraft mechanic costs 1,25"/>
    <s v="Visit 50h 2024"/>
    <x v="12"/>
    <n v="0"/>
    <s v="Vu Tien"/>
    <s v="CommonPot"/>
    <m/>
    <n v="128.75"/>
    <n v="0.17"/>
    <x v="6"/>
    <x v="1"/>
    <n v="21.887500000000003"/>
    <n v="150.63749999999999"/>
  </r>
  <r>
    <d v="2024-12-12T00:00:00"/>
    <s v="Hourly rate aircraft mechanic time 1 h"/>
    <s v="Visit 50h 2024"/>
    <x v="1"/>
    <n v="1"/>
    <s v="Vu Tien"/>
    <s v="CommonPot"/>
    <m/>
    <m/>
    <n v="0.17"/>
    <x v="6"/>
    <x v="0"/>
    <n v="0"/>
    <n v="0"/>
  </r>
  <r>
    <d v="2025-01-05T00:00:00"/>
    <s v="Loyer hangar Luxairport jan-mar, moins contrib. LX-ARA"/>
    <s v="Loyer hangar Luxairport jan-mar, moins contrib. LX-ARA"/>
    <x v="13"/>
    <n v="0"/>
    <s v="Vu Tien"/>
    <s v="CommonPot"/>
    <m/>
    <n v="1093.8600000000001"/>
    <n v="0"/>
    <x v="7"/>
    <x v="0"/>
    <n v="0"/>
    <n v="1093.8600000000001"/>
  </r>
  <r>
    <d v="2025-05-27T00:00:00"/>
    <s v="GAM Invoice 2025060 of 27 May 2025"/>
    <s v="GAM Invoice 2025060 of 27 May 2025"/>
    <x v="12"/>
    <n v="0"/>
    <s v="Vu Tien"/>
    <s v="CommonPot"/>
    <m/>
    <m/>
    <n v="0"/>
    <x v="7"/>
    <x v="1"/>
    <n v="0"/>
    <n v="0"/>
  </r>
  <r>
    <d v="2025-05-27T00:00:00"/>
    <s v="aircraft mechanic costs 2,5 h"/>
    <s v="GAM Invoice 2025060 of 27 May 2025"/>
    <x v="18"/>
    <n v="0"/>
    <s v="Vu Tien"/>
    <s v="CommonPot"/>
    <m/>
    <n v="126.16"/>
    <n v="0.17"/>
    <x v="7"/>
    <x v="2"/>
    <n v="21.447200000000002"/>
    <n v="147.60720000000001"/>
  </r>
  <r>
    <d v="2025-05-27T00:00:00"/>
    <s v="aircraft mechanic time 0,25 h"/>
    <s v="GAM Invoice 2025060 of 27 May 2025"/>
    <x v="1"/>
    <n v="0.25"/>
    <s v="Vu Tien"/>
    <s v="CommonPot"/>
    <m/>
    <m/>
    <n v="0.17"/>
    <x v="7"/>
    <x v="0"/>
    <n v="0"/>
    <n v="0"/>
  </r>
  <r>
    <d v="2025-05-27T00:00:00"/>
    <s v="Customer : Both rear Nav-Lights inop"/>
    <s v="GAM Invoice 2025060 of 27 May 2025"/>
    <x v="9"/>
    <n v="0"/>
    <s v="Vu Tien"/>
    <s v="CommonPot"/>
    <m/>
    <m/>
    <n v="0.17"/>
    <x v="7"/>
    <x v="0"/>
    <n v="0"/>
    <n v="0"/>
  </r>
  <r>
    <d v="2025-08-23T00:00:00"/>
    <s v="Taxes atterrissage Chambéry Oberkampf"/>
    <s v="Taxes atterrissage Chambéry Oberkampf"/>
    <x v="3"/>
    <n v="0"/>
    <s v="Vu Tien"/>
    <s v="CommonPot"/>
    <m/>
    <n v="0"/>
    <n v="0"/>
    <x v="7"/>
    <x v="1"/>
    <n v="0"/>
    <n v="0"/>
  </r>
  <r>
    <d v="2025-10-29T00:00:00"/>
    <s v="ELT 406 annual Inspection work (fixed time)"/>
    <s v="GAM Invoice 2025160 of 19 Sep reçue 29 Oct 2025"/>
    <x v="1"/>
    <n v="1"/>
    <s v="Vu Tien"/>
    <s v="CommonPot"/>
    <m/>
    <m/>
    <n v="0.17"/>
    <x v="7"/>
    <x v="0"/>
    <n v="0"/>
    <n v="0"/>
  </r>
  <r>
    <d v="2026-01-02T00:00:00"/>
    <s v="Loyer hangar Luxairport janvier"/>
    <s v="Loyer hangar Luxairport janvier"/>
    <x v="13"/>
    <n v="0"/>
    <s v="Vu Tien"/>
    <s v="CommonPot"/>
    <m/>
    <n v="747.4"/>
    <n v="0"/>
    <x v="8"/>
    <x v="0"/>
    <n v="0"/>
    <n v="747.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d v="2019-02-04T00:00:00"/>
    <s v="AVGAS"/>
    <s v="Vu Tien"/>
    <s v="CommonPot"/>
    <s v="LuxFuel 4/02/2019"/>
    <n v="236.55"/>
    <s v="LuxFuel"/>
    <n v="128.56"/>
    <x v="0"/>
    <n v="1.8399968886123212"/>
  </r>
  <r>
    <d v="2019-02-15T00:00:00"/>
    <s v="AVGAS"/>
    <s v="Vu Tien"/>
    <s v="CommonPot"/>
    <s v="LuxFuel 15/02/2019"/>
    <n v="236.59"/>
    <s v="LuxFuel"/>
    <n v="128.58000000000001"/>
    <x v="0"/>
    <n v="1.8400217763260225"/>
  </r>
  <r>
    <d v="2019-02-23T00:00:00"/>
    <s v="AVGAS"/>
    <s v="Vu Tien"/>
    <s v="CommonPot"/>
    <s v="LuxFuel 23/02/2019"/>
    <n v="134.69999999999999"/>
    <s v="LuxFuel"/>
    <n v="78.77"/>
    <x v="0"/>
    <n v="1.7100418941221276"/>
  </r>
  <r>
    <d v="2019-02-23T00:00:00"/>
    <s v="AVGAS"/>
    <s v="Vu Tien"/>
    <s v="CommonPot"/>
    <s v="LuxFuel 23/02/2019"/>
    <n v="98.68"/>
    <s v="LuxFuel"/>
    <n v="57.71"/>
    <x v="0"/>
    <n v="1.7099289551204297"/>
  </r>
  <r>
    <d v="2020-01-07T00:00:00"/>
    <s v="AVGAS"/>
    <s v="Vu Tien"/>
    <s v="CommonPot"/>
    <s v="LuxFuel 28/12/2019"/>
    <n v="368.12"/>
    <s v="LuxFuel"/>
    <n v="203.38"/>
    <x v="1"/>
    <n v="1.8100108171894975"/>
  </r>
  <r>
    <d v="2020-06-13T00:00:00"/>
    <s v="AVGAS"/>
    <s v="Vu Tien"/>
    <s v="CommonPot"/>
    <s v="LuxFuel 13/06/2020"/>
    <n v="189.84256199999999"/>
    <s v="LuxFuel"/>
    <n v="110.38"/>
    <x v="1"/>
    <n v="1.7199"/>
  </r>
  <r>
    <d v="2020-06-20T00:00:00"/>
    <s v="AVGAS"/>
    <s v="Vu Tien"/>
    <s v="CommonPot"/>
    <s v="LuxFuel 20/06/2020"/>
    <n v="155.03178600000001"/>
    <s v="LuxFuel"/>
    <n v="90.14"/>
    <x v="1"/>
    <n v="1.7199000000000002"/>
  </r>
  <r>
    <d v="2020-07-30T00:00:00"/>
    <s v="AVGAS"/>
    <s v="Vu Tien"/>
    <s v="CommonPot"/>
    <s v="LuxFuel 30/07/2020"/>
    <n v="149.96"/>
    <s v="LuxFuel"/>
    <n v="99.97"/>
    <x v="1"/>
    <n v="1.5000500150045015"/>
  </r>
  <r>
    <d v="2020-08-11T00:00:00"/>
    <s v="AVGAS"/>
    <s v="Vu Tien"/>
    <s v="CommonPot"/>
    <s v="LuxFuel 11/08/2020"/>
    <n v="410.6"/>
    <s v="LuxFuel"/>
    <n v="273.73"/>
    <x v="1"/>
    <n v="1.5000182661746977"/>
  </r>
  <r>
    <d v="2020-08-22T00:00:00"/>
    <s v="AVGAS"/>
    <s v="Vu Tien"/>
    <s v="CommonPot"/>
    <s v="LuxFuel 22/08/2020"/>
    <n v="165.02"/>
    <s v="LuxFuel"/>
    <n v="110.01"/>
    <x v="1"/>
    <n v="1.5000454504135987"/>
  </r>
  <r>
    <d v="2020-08-23T00:00:00"/>
    <s v="AVGAS"/>
    <s v="Vu Tien"/>
    <s v="CommonPot"/>
    <s v="LuxFuel 23/08/2020"/>
    <n v="300.39"/>
    <s v="LuxFuel"/>
    <n v="200.26"/>
    <x v="1"/>
    <n v="1.5"/>
  </r>
  <r>
    <d v="2020-09-13T00:00:00"/>
    <s v="AVGAS"/>
    <s v="Vu Tien"/>
    <s v="CommonPot"/>
    <s v="LuxFuel 13/09/2020"/>
    <n v="298.61"/>
    <s v="LuxFuel"/>
    <n v="200.41"/>
    <x v="1"/>
    <n v="1.4899955092061274"/>
  </r>
  <r>
    <d v="2020-09-21T00:00:00"/>
    <s v="AVGAS"/>
    <s v="Vu Tien"/>
    <s v="CommonPot"/>
    <s v="LuxFuel 21/09/2020"/>
    <n v="239.03"/>
    <s v="LuxFuel"/>
    <n v="160.41999999999999"/>
    <x v="1"/>
    <n v="1.4900261812741555"/>
  </r>
  <r>
    <d v="2020-11-05T00:00:00"/>
    <s v="AVGAS"/>
    <s v="Vu Tien"/>
    <s v="CommonPot"/>
    <s v="LuxFuel 5/11/2020"/>
    <n v="300.01"/>
    <s v="LuxFuel"/>
    <n v="202.71"/>
    <x v="1"/>
    <n v="1.4799960534754082"/>
  </r>
  <r>
    <d v="2020-12-19T00:00:00"/>
    <s v="AVGAS"/>
    <s v="Vu Tien"/>
    <s v="CommonPot"/>
    <s v="LuxFuel 19/12/2020"/>
    <n v="220.77"/>
    <s v="LuxFuel"/>
    <n v="151.21"/>
    <x v="1"/>
    <n v="1.4600224852853647"/>
  </r>
  <r>
    <d v="2021-01-10T00:00:00"/>
    <s v="AVGAS"/>
    <s v="Vu Tien"/>
    <s v="CommonPot"/>
    <s v="LuxFuel 10/01/2021"/>
    <n v="226.86"/>
    <s v="LuxFuel"/>
    <n v="150.24"/>
    <x v="2"/>
    <n v="1.5099840255591055"/>
  </r>
  <r>
    <d v="2021-02-24T00:00:00"/>
    <s v="AVGAS"/>
    <s v="Vu Tien"/>
    <s v="CommonPot"/>
    <s v="LuxFuel 24/02/2021"/>
    <n v="187.4"/>
    <s v="LuxFuel"/>
    <n v="114.27"/>
    <x v="2"/>
    <n v="1.6399754966307869"/>
  </r>
  <r>
    <d v="2021-02-27T00:00:00"/>
    <s v="AVGAS"/>
    <s v="Vu Tien"/>
    <s v="CommonPot"/>
    <s v="LuxFuel 27/02/2021"/>
    <n v="150.36000000000001"/>
    <s v="LuxFuel"/>
    <n v="91.68"/>
    <x v="2"/>
    <n v="1.6400523560209423"/>
  </r>
  <r>
    <d v="2021-03-06T00:00:00"/>
    <s v="AVGAS"/>
    <s v="Vu Tien"/>
    <s v="CommonPot"/>
    <s v="LuxFuel 6/03/2021"/>
    <n v="107.09"/>
    <s v="LuxFuel"/>
    <n v="65.3"/>
    <x v="2"/>
    <n v="1.6399693721286372"/>
  </r>
  <r>
    <d v="2021-03-07T00:00:00"/>
    <s v="AVGAS"/>
    <s v="Vu Tien"/>
    <s v="CommonPot"/>
    <s v="LuxFuel 7/03/2021"/>
    <n v="179.04"/>
    <s v="LuxFuel"/>
    <n v="109.17"/>
    <x v="2"/>
    <n v="1.6400109920307775"/>
  </r>
  <r>
    <d v="2021-03-24T00:00:00"/>
    <s v="AVGAS"/>
    <s v="Vu Tien"/>
    <s v="CommonPot"/>
    <s v="LuxFuel 24/03/2021"/>
    <n v="372.87"/>
    <s v="LuxFuel"/>
    <n v="227.36"/>
    <x v="2"/>
    <n v="1.6399982406755804"/>
  </r>
  <r>
    <d v="2021-04-16T00:00:00"/>
    <s v="AVGAS"/>
    <s v="Vu Tien"/>
    <s v="CommonPot"/>
    <s v="LuxFuel 16/04/2021"/>
    <n v="331.81"/>
    <s v="LuxFuel"/>
    <n v="188.53"/>
    <x v="2"/>
    <n v="1.7599851482522675"/>
  </r>
  <r>
    <d v="2021-04-24T00:00:00"/>
    <s v="AVGAS"/>
    <s v="Vu Tien"/>
    <s v="CommonPot"/>
    <s v="LuxFuel 24/04/2021"/>
    <n v="398.77"/>
    <s v="LuxFuel"/>
    <n v="224.03"/>
    <x v="2"/>
    <n v="1.7799848234611435"/>
  </r>
  <r>
    <d v="2021-05-01T00:00:00"/>
    <s v="AVGAS"/>
    <s v="Vu Tien"/>
    <s v="CommonPot"/>
    <s v="LuxFuel 1/05/2021"/>
    <n v="342.22"/>
    <s v="LuxFuel"/>
    <n v="192.26"/>
    <x v="2"/>
    <n v="1.7799854363882246"/>
  </r>
  <r>
    <d v="2021-05-09T00:00:00"/>
    <s v="AVGAS"/>
    <s v="Vu Tien"/>
    <s v="CommonPot"/>
    <s v="LuxFuel 9/05/2021"/>
    <n v="413.08"/>
    <s v="LuxFuel"/>
    <n v="232.07"/>
    <x v="2"/>
    <n v="1.77998017839445"/>
  </r>
  <r>
    <d v="2021-06-13T00:00:00"/>
    <s v="AVGAS"/>
    <s v="Vu Tien"/>
    <s v="CommonPot"/>
    <s v="LuxFuel 9/05/2021"/>
    <n v="407.65"/>
    <s v="LuxFuel"/>
    <n v="222.76"/>
    <x v="2"/>
    <n v="1.8299964086909679"/>
  </r>
  <r>
    <d v="2021-06-24T00:00:00"/>
    <s v="AVGAS"/>
    <s v="Vu Tien"/>
    <s v="CommonPot"/>
    <s v="LuxFuel 24/06/2021"/>
    <n v="186.22"/>
    <s v="LuxFuel"/>
    <n v="100.66"/>
    <x v="2"/>
    <n v="1.8499900655672561"/>
  </r>
  <r>
    <d v="2021-07-10T00:00:00"/>
    <s v="AVGAS"/>
    <s v="Vu Tien"/>
    <s v="CommonPot"/>
    <s v="LuxFuel 10/07/2021"/>
    <n v="166.1"/>
    <s v="LuxFuel"/>
    <n v="88.35"/>
    <x v="2"/>
    <n v="1.8800226372382569"/>
  </r>
  <r>
    <d v="2021-07-18T00:00:00"/>
    <s v="AVGAS"/>
    <s v="Vu Tien"/>
    <s v="CommonPot"/>
    <s v="LuxFuel 18/07/2021"/>
    <n v="96.86"/>
    <s v="LuxFuel"/>
    <n v="51.52"/>
    <x v="2"/>
    <n v="1.8800465838509315"/>
  </r>
  <r>
    <d v="2021-07-18T00:00:00"/>
    <s v="AVGAS"/>
    <s v="Vu Tien"/>
    <s v="CommonPot"/>
    <s v="LuxFuel 18/07/2021"/>
    <n v="197.08"/>
    <s v="LuxFuel"/>
    <n v="104.83"/>
    <x v="2"/>
    <n v="1.8799961842983881"/>
  </r>
  <r>
    <d v="2021-08-15T00:00:00"/>
    <s v="AVGAS"/>
    <s v="Vu Tien"/>
    <s v="CommonPot"/>
    <s v="LuxFuel 15/08/2021"/>
    <n v="220.72"/>
    <s v="LuxFuel"/>
    <n v="116.17"/>
    <x v="2"/>
    <n v="1.8999741757768787"/>
  </r>
  <r>
    <d v="2021-08-24T00:00:00"/>
    <s v="AVGAS"/>
    <s v="Vu Tien"/>
    <s v="CommonPot"/>
    <s v="LuxFuel 24/08/2021"/>
    <n v="283.97000000000003"/>
    <s v="LuxFuel"/>
    <n v="149.46"/>
    <x v="2"/>
    <n v="1.8999732369864848"/>
  </r>
  <r>
    <d v="2021-08-24T00:00:00"/>
    <s v="AVGAS"/>
    <s v="Vu Tien"/>
    <s v="CommonPot"/>
    <s v="LuxFuel 24/08/2021"/>
    <n v="319.45"/>
    <s v="LuxFuel"/>
    <n v="168.13"/>
    <x v="2"/>
    <n v="1.9000178433355142"/>
  </r>
  <r>
    <d v="2021-08-25T00:00:00"/>
    <s v="AVGAS"/>
    <s v="Vu Tien"/>
    <s v="CommonPot"/>
    <s v="LuxFuel 25/08/2021"/>
    <n v="353.95"/>
    <s v="LuxFuel"/>
    <n v="186.29"/>
    <x v="2"/>
    <n v="1.8999946320253369"/>
  </r>
  <r>
    <d v="2021-09-03T00:00:00"/>
    <s v="AVGAS"/>
    <s v="Dominique"/>
    <s v="CommonPot"/>
    <s v="AirBP Clermont-Ferrand"/>
    <n v="310.26"/>
    <s v="AirBP"/>
    <n v="140"/>
    <x v="2"/>
    <n v="2.2161428571428572"/>
  </r>
  <r>
    <d v="2021-09-05T00:00:00"/>
    <s v="AVGAS"/>
    <s v="Dominique"/>
    <s v="CommonPot"/>
    <s v="AirBP Clermont-Ferrand"/>
    <n v="243.77"/>
    <s v="AirBP"/>
    <n v="110"/>
    <x v="2"/>
    <n v="2.2160909090909091"/>
  </r>
  <r>
    <d v="2021-09-13T00:00:00"/>
    <s v="AVGAS"/>
    <s v="Vu Tien"/>
    <s v="CommonPot"/>
    <s v="LuxFuel 13/09/2021"/>
    <n v="202.75"/>
    <s v="LuxFuel"/>
    <n v="105.6"/>
    <x v="2"/>
    <n v="1.9199810606060608"/>
  </r>
  <r>
    <d v="2021-09-19T00:00:00"/>
    <s v="AVGAS"/>
    <s v="Vu Tien"/>
    <s v="CommonPot"/>
    <s v="LuxFuel 19/09/2021"/>
    <n v="192.06"/>
    <s v="LuxFuel"/>
    <n v="100.03"/>
    <x v="2"/>
    <n v="1.9200239928021594"/>
  </r>
  <r>
    <d v="2021-09-23T00:00:00"/>
    <s v="AVGAS"/>
    <s v="Vu Tien"/>
    <s v="CommonPot"/>
    <s v="LuxFuel 23/09/2021"/>
    <n v="455.75"/>
    <s v="LuxFuel"/>
    <n v="237.37"/>
    <x v="2"/>
    <n v="1.9199983148670852"/>
  </r>
  <r>
    <d v="2021-10-22T00:00:00"/>
    <s v="AVGAS"/>
    <s v="Vu Tien"/>
    <s v="CommonPot"/>
    <s v="LuxFuel 22/10/2021"/>
    <n v="492"/>
    <s v="LuxFuel"/>
    <n v="252.31"/>
    <x v="2"/>
    <n v="1.9499821647972733"/>
  </r>
  <r>
    <d v="2022-02-13T00:00:00"/>
    <s v="AVGAS"/>
    <s v="Vu Tien"/>
    <s v="CommonPot"/>
    <s v="LuxFuel mois février 28/2/2022"/>
    <n v="167.09"/>
    <s v="LuxFuel"/>
    <n v="80.72"/>
    <x v="3"/>
    <n v="2.0699950445986124"/>
  </r>
  <r>
    <d v="2022-02-23T00:00:00"/>
    <s v="AVGAS"/>
    <s v="Vu Tien"/>
    <s v="CommonPot"/>
    <s v="LuxFuel mois février 28/2/2022"/>
    <n v="268.42"/>
    <s v="LuxFuel"/>
    <n v="129.66999999999999"/>
    <x v="3"/>
    <n v="2.0700239068404414"/>
  </r>
  <r>
    <d v="2022-02-27T00:00:00"/>
    <s v="AVGAS"/>
    <s v="Vu Tien"/>
    <s v="CommonPot"/>
    <s v="LuxFuel mois février 28/2/2022"/>
    <n v="239.93"/>
    <s v="LuxFuel"/>
    <n v="115.91"/>
    <x v="3"/>
    <n v="2.069968078681736"/>
  </r>
  <r>
    <d v="2022-03-03T00:00:00"/>
    <s v="AVGAS"/>
    <s v="Vu Tien"/>
    <s v="CommonPot"/>
    <s v="LuxFuel mois mars 8/4/22"/>
    <n v="315.86"/>
    <s v="LuxFuel"/>
    <n v="152.59"/>
    <x v="3"/>
    <n v="2.0699914804377744"/>
  </r>
  <r>
    <d v="2022-03-09T00:00:00"/>
    <s v="AVGAS"/>
    <s v="Vu Tien"/>
    <s v="CommonPot"/>
    <s v="LuxFuel mois mars 8/4/22"/>
    <n v="528.73"/>
    <s v="LuxFuel"/>
    <n v="240.33"/>
    <x v="3"/>
    <n v="2.200016643781467"/>
  </r>
  <r>
    <d v="2022-03-19T00:00:00"/>
    <s v="AVGAS"/>
    <s v="Vu Tien"/>
    <s v="CommonPot"/>
    <s v="LuxFuel mois mars 8/4/22"/>
    <n v="287.95999999999998"/>
    <s v="LuxFuel"/>
    <n v="130.88999999999999"/>
    <x v="3"/>
    <n v="2.2000152800061121"/>
  </r>
  <r>
    <d v="2022-03-26T00:00:00"/>
    <s v="AVGAS"/>
    <s v="Vu Tien"/>
    <s v="CommonPot"/>
    <s v="LuxFuel mois mars 8/4/22"/>
    <n v="530.14"/>
    <s v="LuxFuel"/>
    <n v="227.53"/>
    <x v="3"/>
    <n v="2.3299784643783235"/>
  </r>
  <r>
    <d v="2022-04-29T00:00:00"/>
    <s v="AVGAS"/>
    <s v="Vu Tien"/>
    <s v="CommonPot"/>
    <s v="BP Cannes 29/4/22"/>
    <n v="361.24"/>
    <s v="AirBP"/>
    <n v="132.46"/>
    <x v="3"/>
    <n v="2.7271629171070511"/>
  </r>
  <r>
    <d v="2022-04-11T00:00:00"/>
    <s v="AVGAS"/>
    <s v="Vu Tien"/>
    <s v="CommonPot"/>
    <s v="LuxFuel mois avril 10/5/22"/>
    <n v="335.22"/>
    <s v="LuxFuel"/>
    <n v="143.87"/>
    <x v="3"/>
    <n v="2.3300201570862584"/>
  </r>
  <r>
    <d v="2022-04-29T00:00:00"/>
    <s v="AVGAS"/>
    <s v="Vu Tien"/>
    <s v="CommonPot"/>
    <s v="LuxFuel mois avril 10/5/22"/>
    <n v="666.35"/>
    <s v="LuxFuel"/>
    <n v="275.35000000000002"/>
    <x v="3"/>
    <n v="2.4200108952242601"/>
  </r>
  <r>
    <d v="2022-05-07T00:00:00"/>
    <s v="AVGAS"/>
    <s v="Vu Tien"/>
    <s v="CommonPot"/>
    <s v="LuxFuel mois mai "/>
    <n v="370.57"/>
    <s v="LuxFuel"/>
    <n v="153.13"/>
    <x v="3"/>
    <n v="2.4199699601645661"/>
  </r>
  <r>
    <d v="2022-05-09T00:00:00"/>
    <s v="AVGAS"/>
    <s v="Vu Tien"/>
    <s v="CommonPot"/>
    <s v="BP Luebeck EDHL 9/5/22"/>
    <n v="303.32"/>
    <s v="AirBP"/>
    <n v="100"/>
    <x v="3"/>
    <n v="3.0331999999999999"/>
  </r>
  <r>
    <d v="2022-05-14T00:00:00"/>
    <s v="AVGAS"/>
    <s v="Vu Tien"/>
    <s v="CommonPot"/>
    <s v="LuxFuel mois mai 8/6/22"/>
    <n v="524.87"/>
    <s v="LuxFuel"/>
    <n v="216.9"/>
    <x v="3"/>
    <n v="2.4198709082526508"/>
  </r>
  <r>
    <d v="2022-05-15T00:00:00"/>
    <s v="AVGAS"/>
    <s v="Vu Tien"/>
    <s v="CommonPot"/>
    <s v="LuxFuel mois mai 8/6/22"/>
    <n v="511.39"/>
    <s v="LuxFuel"/>
    <n v="211.32"/>
    <x v="3"/>
    <n v="2.4199791784970661"/>
  </r>
  <r>
    <d v="2022-05-28T00:00:00"/>
    <s v="AVGAS"/>
    <s v="Vu Tien"/>
    <s v="CommonPot"/>
    <s v="LuxFuel mois mai 8/6/22"/>
    <n v="381.41000000000008"/>
    <s v="LuxFuel"/>
    <n v="148.41"/>
    <x v="3"/>
    <n v="2.5699750690654275"/>
  </r>
  <r>
    <d v="2022-06-12T00:00:00"/>
    <s v="AVGAS"/>
    <s v="Vu Tien"/>
    <s v="CommonPot"/>
    <s v="LuxFuel mois juin"/>
    <n v="378.54"/>
    <s v="LuxFuel"/>
    <n v="147.29"/>
    <x v="3"/>
    <n v="2.5700319098377356"/>
  </r>
  <r>
    <d v="2022-06-15T00:00:00"/>
    <s v="AVGAS"/>
    <s v="Vu Tien"/>
    <s v="CommonPot"/>
    <s v="LuxFuel mois juin"/>
    <n v="174.37"/>
    <s v="LuxFuel"/>
    <n v="67.849999999999994"/>
    <x v="3"/>
    <n v="2.5699336772291823"/>
  </r>
  <r>
    <d v="2022-06-15T00:00:00"/>
    <s v="AVGAS"/>
    <s v="Dominique"/>
    <s v="CommonPot"/>
    <s v="AVGAS San Sebastian"/>
    <n v="245.68"/>
    <s v="AirBP"/>
    <n v="100"/>
    <x v="3"/>
    <n v="2.4567999999999999"/>
  </r>
  <r>
    <d v="2022-06-16T00:00:00"/>
    <s v="AVGAS"/>
    <s v="Vu Tien"/>
    <s v="CommonPot"/>
    <s v="LuxFuel mois juin"/>
    <n v="373.37"/>
    <s v="LuxFuel"/>
    <n v="145.28"/>
    <x v="3"/>
    <n v="2.5700027533039647"/>
  </r>
  <r>
    <d v="2022-06-16T00:00:00"/>
    <s v="AVGAS"/>
    <s v="Vu Tien"/>
    <s v="Dominique"/>
    <s v="AVGAS Ljubljana"/>
    <n v="401.28"/>
    <s v="VISA"/>
    <n v="160"/>
    <x v="3"/>
    <n v="2.508"/>
  </r>
  <r>
    <d v="2022-01-01T00:00:00"/>
    <s v="AVGAS"/>
    <s v="Dominique"/>
    <s v="CommonPot"/>
    <s v="LuxFuel juillet"/>
    <n v="696.48"/>
    <s v="LuxFuel"/>
    <n v="256.06"/>
    <x v="3"/>
    <n v="2.7199875029290013"/>
  </r>
  <r>
    <d v="2022-01-01T00:00:00"/>
    <s v="AVGAS"/>
    <s v="Dominique"/>
    <s v="CommonPot"/>
    <s v="AirBP LESO San Sebastian"/>
    <n v="335.93"/>
    <s v="AirBP"/>
    <n v="100"/>
    <x v="3"/>
    <n v="3.3593000000000002"/>
  </r>
  <r>
    <d v="2022-07-08T00:00:00"/>
    <s v="AVGAS"/>
    <s v="Vu Tien"/>
    <s v="CommonPot"/>
    <s v="LuxFuel juillet"/>
    <n v="452.4"/>
    <s v="LuxFuel"/>
    <n v="159.86000000000001"/>
    <x v="3"/>
    <n v="2.8299762292005499"/>
  </r>
  <r>
    <d v="2022-07-08T00:00:00"/>
    <s v="AVGAS"/>
    <s v="Vu Tien"/>
    <s v="CommonPot"/>
    <s v="AirTotal Aubenas LFHO 8/07/22"/>
    <n v="245.68"/>
    <s v="AirTotal"/>
    <n v="104"/>
    <x v="3"/>
    <n v="2.3623076923076924"/>
  </r>
  <r>
    <d v="2022-07-19T00:00:00"/>
    <s v="AVGAS"/>
    <s v="Vu Tien"/>
    <s v="CommonPot"/>
    <s v="LuxFuel mois juillet"/>
    <n v="409.56"/>
    <s v="LuxFuel"/>
    <n v="144.72"/>
    <x v="3"/>
    <n v="2.830016583747927"/>
  </r>
  <r>
    <d v="2022-07-19T00:00:00"/>
    <s v="AVGAS"/>
    <s v="Vu Tien"/>
    <s v="Vu Tien"/>
    <s v="AVGAS La Rochelle 19/07/22"/>
    <n v="500.44"/>
    <s v="VISA"/>
    <n v="159.18"/>
    <x v="3"/>
    <n v="3.1438622942580725"/>
  </r>
  <r>
    <d v="2022-07-29T00:00:00"/>
    <s v="AVGAS"/>
    <s v="Vu Tien"/>
    <s v="CommonPot"/>
    <s v="LuxFuel mois juillet"/>
    <n v="558.54"/>
    <s v="LuxFuel"/>
    <n v="196.67"/>
    <x v="3"/>
    <n v="2.8399857629531704"/>
  </r>
  <r>
    <d v="2022-08-03T00:00:00"/>
    <s v="AVGAS"/>
    <s v="Vu Tien"/>
    <s v="CommonPot"/>
    <s v="LuxFuel août"/>
    <n v="267.93"/>
    <s v="LuxFuel"/>
    <n v="94.34"/>
    <x v="3"/>
    <n v="2.8400466398134405"/>
  </r>
  <r>
    <d v="2022-08-03T00:00:00"/>
    <s v="AVGAS"/>
    <s v="Vu Tien"/>
    <s v="CommonPot"/>
    <s v="AirTotal Vannes LFRV 3/08/22"/>
    <n v="469.73"/>
    <s v="AirTotal"/>
    <n v="140.71"/>
    <x v="3"/>
    <n v="3.3382844147537489"/>
  </r>
  <r>
    <d v="2022-08-07T00:00:00"/>
    <s v="AVGAS"/>
    <s v="Vu Tien"/>
    <s v="CommonPot"/>
    <s v="LuxFuel mois août"/>
    <n v="334.13"/>
    <s v="LuxFuel"/>
    <n v="117.65"/>
    <x v="3"/>
    <n v="2.840033999150021"/>
  </r>
  <r>
    <d v="2022-08-12T00:00:00"/>
    <s v="AVGAS"/>
    <s v="Vu Tien"/>
    <s v="CommonPot"/>
    <s v="LuxFuel mois août"/>
    <n v="411.91"/>
    <s v="LuxFuel"/>
    <n v="145.04"/>
    <x v="3"/>
    <n v="2.839975179260894"/>
  </r>
  <r>
    <d v="2022-08-12T00:00:00"/>
    <s v="AVGAS"/>
    <s v="Vu Tien"/>
    <s v="CommonPot"/>
    <s v="AirTotal Lasbordes LFCL 12/8/22"/>
    <n v="467.67"/>
    <s v="AirTotal"/>
    <n v="167.64"/>
    <x v="3"/>
    <n v="2.7897279885468866"/>
  </r>
  <r>
    <d v="2022-08-20T00:00:00"/>
    <s v="AVGAS"/>
    <s v="Vu Tien"/>
    <s v="CommonPot"/>
    <s v="AirTotal Vannes LFRV 20/08/22"/>
    <n v="155.72999999999999"/>
    <s v="AirTotal"/>
    <n v="50.35"/>
    <x v="3"/>
    <n v="3.0929493545183711"/>
  </r>
  <r>
    <d v="2022-08-20T00:00:00"/>
    <s v="AVGAS"/>
    <s v="Vu Tien"/>
    <s v="CommonPot"/>
    <s v="LuxFuel mois août"/>
    <n v="628.29"/>
    <s v="LuxFuel"/>
    <n v="221.23"/>
    <x v="3"/>
    <n v="2.8399855354156309"/>
  </r>
  <r>
    <d v="2022-08-29T00:00:00"/>
    <s v="AVGAS"/>
    <s v="Vu Tien"/>
    <s v="CommonPot"/>
    <s v="LuxFuel mois août"/>
    <n v="503.99"/>
    <s v="LuxFuel"/>
    <n v="189.47"/>
    <x v="3"/>
    <n v="2.6599989444239194"/>
  </r>
  <r>
    <d v="2022-09-05T00:00:00"/>
    <s v="AVGAS"/>
    <s v="Vu Tien"/>
    <s v="CommonPot"/>
    <s v="AirTotal Mende 5/9/22"/>
    <n v="273.14"/>
    <s v="AirTotal"/>
    <n v="99.61"/>
    <x v="3"/>
    <n v="2.7420941672522838"/>
  </r>
  <r>
    <d v="2022-09-22T00:00:00"/>
    <s v="AVGAS"/>
    <s v="Vu Tien"/>
    <s v="CommonPot"/>
    <s v="LuxFuel mois septembre"/>
    <n v="659.03"/>
    <s v="LuxFuel"/>
    <n v="261.52"/>
    <x v="3"/>
    <n v="2.5199984704802691"/>
  </r>
  <r>
    <d v="2022-09-22T00:00:00"/>
    <s v="AVGAS"/>
    <s v="Vu Tien"/>
    <s v="Vu Tien"/>
    <s v="AVGAS Villefranche LFHV 22/9/22"/>
    <n v="54.24"/>
    <s v="VISA"/>
    <n v="17.61"/>
    <x v="3"/>
    <n v="3.0800681431005112"/>
  </r>
  <r>
    <d v="2022-09-22T00:00:00"/>
    <s v="AVGAS"/>
    <s v="Vu Tien"/>
    <s v="CommonPot"/>
    <s v="AVGAS San Sebastián 22/9/22"/>
    <n v="210.01"/>
    <s v="VISA"/>
    <n v="60"/>
    <x v="3"/>
    <n v="3.5001666666666664"/>
  </r>
  <r>
    <d v="2022-09-23T00:00:00"/>
    <s v="AVGAS"/>
    <s v="Vu Tien"/>
    <s v="Vu Tien"/>
    <s v="AVGAS Villefranche LFHV 23/9/22"/>
    <n v="320"/>
    <s v="VISA"/>
    <n v="103.9"/>
    <x v="3"/>
    <n v="3.0798845043310874"/>
  </r>
  <r>
    <d v="2022-09-25T00:00:00"/>
    <s v="AVGAS"/>
    <s v="Vu Tien"/>
    <s v="CommonPot"/>
    <s v="LuxFuel mois septembre"/>
    <n v="204.42"/>
    <s v="LuxFuel"/>
    <n v="81.12"/>
    <x v="3"/>
    <n v="2.519970414201183"/>
  </r>
  <r>
    <d v="2022-10-22T00:00:00"/>
    <s v="AVGAS"/>
    <s v="Vu Tien"/>
    <s v="CommonPot"/>
    <s v="LuxFuel mois octobre"/>
    <n v="171.07"/>
    <s v="LuxFuel"/>
    <n v="70.11"/>
    <x v="3"/>
    <n v="2.4400228212808441"/>
  </r>
  <r>
    <d v="2022-10-27T00:00:00"/>
    <s v="AVGAS"/>
    <s v="Vu Tien"/>
    <s v="CommonPot"/>
    <s v="LuxFuel mois octobre"/>
    <n v="293.58"/>
    <s v="LuxFuel"/>
    <n v="120.32"/>
    <x v="3"/>
    <n v="2.4399933510638299"/>
  </r>
  <r>
    <d v="2022-11-01T00:00:00"/>
    <s v="AVGAS"/>
    <s v="Vu Tien"/>
    <s v="CommonPot"/>
    <s v="LuxFuel mois novembre"/>
    <n v="366.59"/>
    <s v="LuxFuel"/>
    <n v="150.24"/>
    <x v="3"/>
    <n v="2.4400292864749731"/>
  </r>
  <r>
    <d v="2023-02-07T00:00:00"/>
    <s v="AVGAS"/>
    <s v="Vu Tien"/>
    <s v="CommonPot"/>
    <s v="LuxFuel mois février"/>
    <n v="446.7"/>
    <s v="LuxFuel"/>
    <n v="189.28"/>
    <x v="4"/>
    <n v="2.359995773457312"/>
  </r>
  <r>
    <d v="2023-03-11T00:00:00"/>
    <s v="AVGAS"/>
    <s v="Vu Tien"/>
    <s v="CommonPot"/>
    <s v="LuxFuel mois mars"/>
    <n v="161.16"/>
    <s v="LuxFuel"/>
    <n v="68.290000000000006"/>
    <x v="4"/>
    <n v="2.3599355688973493"/>
  </r>
  <r>
    <d v="2023-03-28T00:00:00"/>
    <s v="AVGAS"/>
    <s v="Vu Tien"/>
    <s v="CommonPot"/>
    <s v="LuxFuel mois mars"/>
    <n v="155.81"/>
    <s v="LuxFuel"/>
    <n v="66.02"/>
    <x v="4"/>
    <n v="2.3600424113904879"/>
  </r>
  <r>
    <d v="2023-04-05T00:00:00"/>
    <s v="AVGAS"/>
    <s v="Vu Tien"/>
    <s v="CommonPot"/>
    <s v="LuxFuel mois avril"/>
    <n v="157.58000000000001"/>
    <s v="LuxFuel"/>
    <n v="66.77"/>
    <x v="4"/>
    <n v="2.3600419350007491"/>
  </r>
  <r>
    <d v="2023-04-09T00:00:00"/>
    <s v="AVGAS"/>
    <s v="Vu Tien"/>
    <s v="CommonPot"/>
    <s v="LuxFuel mois avril"/>
    <n v="478.99"/>
    <s v="LuxFuel"/>
    <n v="202.96"/>
    <x v="4"/>
    <n v="2.3600216791486006"/>
  </r>
  <r>
    <d v="2023-04-09T00:00:00"/>
    <s v="AVGAS"/>
    <s v="Vu Tien"/>
    <s v="CommonPot"/>
    <s v="AVGAS Lasbordes LFCL AirTotal 9/4/2023"/>
    <n v="181.34"/>
    <s v="AirTotal"/>
    <n v="69.75"/>
    <x v="4"/>
    <n v="2.5998566308243727"/>
  </r>
  <r>
    <d v="2023-04-16T00:00:00"/>
    <s v="AVGAS"/>
    <s v="Vu Tien"/>
    <s v="CommonPot"/>
    <s v="AVGAS Lasbordes LFCL AirTotal 16/4/2023"/>
    <n v="479.08"/>
    <s v="AirTotal"/>
    <n v="184.4"/>
    <x v="4"/>
    <n v="2.598047722342733"/>
  </r>
  <r>
    <d v="2023-04-26T00:00:00"/>
    <s v="AVGAS"/>
    <s v="Vu Tien"/>
    <s v="CommonPot"/>
    <s v="LuxFuel mois avril"/>
    <n v="644.36"/>
    <s v="LuxFuel"/>
    <n v="277.74"/>
    <x v="4"/>
    <n v="2.3200115215669332"/>
  </r>
  <r>
    <d v="2023-04-28T00:00:00"/>
    <s v="AVGAS"/>
    <s v="Vu Tien"/>
    <s v="CommonPot"/>
    <s v="AVGAS Rodez LFRC AirTotal 28/4/2023"/>
    <n v="168.82"/>
    <s v="AirTotal"/>
    <n v="64.930000000000007"/>
    <x v="4"/>
    <n v="2.6000308024025869"/>
  </r>
  <r>
    <d v="2023-04-29T00:00:00"/>
    <s v="AVGAS"/>
    <s v="Vu Tien"/>
    <s v="CommonPot"/>
    <s v="LuxFuel mois avril"/>
    <n v="190.45"/>
    <s v="LuxFuel"/>
    <n v="82.09"/>
    <x v="4"/>
    <n v="2.3200146181020829"/>
  </r>
  <r>
    <d v="2023-05-01T00:00:00"/>
    <s v="AVGAS"/>
    <s v="Vu Tien"/>
    <s v="CommonPot"/>
    <s v="AVGAS Wilhelmshaven 1/5/2023"/>
    <n v="130"/>
    <s v="AirBP"/>
    <n v="50"/>
    <x v="4"/>
    <n v="2.6"/>
  </r>
  <r>
    <d v="2023-05-17T00:00:00"/>
    <s v="AVGAS"/>
    <s v="Vu Tien"/>
    <s v="CommonPot"/>
    <s v="LuxFuel mois mai"/>
    <n v="378.39"/>
    <s v="LuxFuel"/>
    <n v="163.1"/>
    <x v="4"/>
    <n v="2.3199877375843041"/>
  </r>
  <r>
    <d v="2023-05-17T00:00:00"/>
    <s v="AVGAS"/>
    <s v="Vu Tien"/>
    <s v="CommonPot"/>
    <s v="AirTotal Béziers LFMU 17/05/2023"/>
    <n v="354.54"/>
    <s v="AirTotal"/>
    <n v="134.56"/>
    <x v="4"/>
    <n v="2.6348097502972654"/>
  </r>
  <r>
    <d v="2023-05-17T00:00:00"/>
    <s v="AVGAS"/>
    <s v="Vu Tien"/>
    <s v="Vu Tien"/>
    <s v="AVGAS Muchamiel LEMU 17/05/2023"/>
    <n v="373.48"/>
    <s v="VISA"/>
    <n v="122"/>
    <x v="4"/>
    <n v="3.0613114754098363"/>
  </r>
  <r>
    <d v="2023-05-17T00:00:00"/>
    <s v="AVGAS"/>
    <s v="Vu Tien"/>
    <s v="CommonPot"/>
    <s v="AirTotal Béziers LFMU 19/05/2023"/>
    <n v="351.9"/>
    <s v="AirTotal"/>
    <n v="133.63"/>
    <x v="4"/>
    <n v="2.6333907056798624"/>
  </r>
  <r>
    <d v="2023-05-24T00:00:00"/>
    <s v="AVGAS"/>
    <s v="Vu Tien"/>
    <s v="CommonPot"/>
    <s v="LuxFuel mois mai"/>
    <n v="254.99"/>
    <s v="LuxFuel"/>
    <n v="109.91"/>
    <x v="4"/>
    <n v="2.3199890819761624"/>
  </r>
  <r>
    <d v="2023-05-31T00:00:00"/>
    <s v="AVGAS"/>
    <s v="Vu Tien"/>
    <s v="CommonPot"/>
    <s v="LuxFuel mois mai"/>
    <n v="277.12"/>
    <s v="LuxFuel"/>
    <n v="119.45"/>
    <x v="4"/>
    <n v="2.3199665131854332"/>
  </r>
  <r>
    <d v="2023-06-14T00:00:00"/>
    <s v="AVGAS"/>
    <s v="Vu Tien"/>
    <s v="CommonPot"/>
    <s v="LuxFuel mois juin"/>
    <n v="379.64"/>
    <s v="LuxFuel"/>
    <n v="169.48"/>
    <x v="4"/>
    <n v="2.240028321925891"/>
  </r>
  <r>
    <d v="2023-06-17T00:00:00"/>
    <s v="AVGAS"/>
    <s v="Vu Tien"/>
    <s v="CommonPot"/>
    <s v="AirTotal Agen LFBA 4/6/2023"/>
    <n v="314.57"/>
    <s v="AirTotal"/>
    <n v="119.7"/>
    <x v="4"/>
    <n v="2.6279866332497912"/>
  </r>
  <r>
    <d v="2023-06-25T00:00:00"/>
    <s v="AVGAS"/>
    <s v="Vu Tien"/>
    <s v="CommonPot"/>
    <s v="LuxFuel mois juin"/>
    <n v="190.27"/>
    <s v="LuxFuel"/>
    <n v="84.94"/>
    <x v="4"/>
    <n v="2.2400518012714858"/>
  </r>
  <r>
    <d v="2023-06-30T00:00:00"/>
    <s v="AVGAS"/>
    <s v="Vu Tien"/>
    <s v="CommonPot"/>
    <s v="LuxFuel mois juin"/>
    <n v="159.02000000000001"/>
    <s v="LuxFuel"/>
    <n v="70.989999999999995"/>
    <x v="4"/>
    <n v="2.2400338075785324"/>
  </r>
  <r>
    <d v="2023-07-06T00:00:00"/>
    <s v="AVGAS"/>
    <s v="Vu Tien"/>
    <s v="CommonPot"/>
    <s v="LuxFuel mois juillet"/>
    <n v="254.78"/>
    <s v="LuxFuel"/>
    <n v="115.81"/>
    <x v="4"/>
    <n v="2.1999827303341681"/>
  </r>
  <r>
    <d v="2023-07-09T00:00:00"/>
    <s v="AVGAS"/>
    <s v="Vu Tien"/>
    <s v="CommonPot"/>
    <s v="AVGAS Aubenas LFHO"/>
    <n v="385.51"/>
    <s v="AirTotal"/>
    <n v="136.13"/>
    <x v="4"/>
    <n v="2.8319253654594871"/>
  </r>
  <r>
    <d v="2023-07-16T00:00:00"/>
    <s v="AVGAS"/>
    <s v="Vu Tien"/>
    <s v="CommonPot"/>
    <s v="LuxFuel mois juillet"/>
    <n v="438.24"/>
    <s v="LuxFuel"/>
    <n v="199.2"/>
    <x v="4"/>
    <n v="2.2000000000000002"/>
  </r>
  <r>
    <d v="2023-07-18T00:00:00"/>
    <s v="AVGAS"/>
    <s v="Vu Tien"/>
    <s v="Vu Tien"/>
    <s v="AVGAS Maribor LJMB"/>
    <n v="220.55"/>
    <s v="VISA"/>
    <n v="80"/>
    <x v="4"/>
    <n v="2.756875"/>
  </r>
  <r>
    <d v="2023-07-20T00:00:00"/>
    <s v="AVGAS"/>
    <s v="Vu Tien"/>
    <s v="Vu Tien"/>
    <s v="AVGAS Dubrovnik LDDU"/>
    <n v="375.88"/>
    <s v="VISA"/>
    <n v="141"/>
    <x v="4"/>
    <n v="2.6658156028368793"/>
  </r>
  <r>
    <d v="2023-07-27T00:00:00"/>
    <s v="AVGAS"/>
    <s v="Vu Tien"/>
    <s v="Vu Tien"/>
    <s v="AVGAS Portoroz LJPZ"/>
    <n v="385.28"/>
    <s v="VISA"/>
    <n v="140"/>
    <x v="4"/>
    <n v="2.7519999999999998"/>
  </r>
  <r>
    <d v="2023-08-10T00:00:00"/>
    <s v="AVGAS"/>
    <s v="Vu Tien"/>
    <s v="CommonPot"/>
    <s v="LuxFuel mois août"/>
    <n v="519.78"/>
    <s v="LuxFuel"/>
    <n v="229.99"/>
    <x v="4"/>
    <n v="2.2600113048393404"/>
  </r>
  <r>
    <d v="2023-08-13T00:00:00"/>
    <s v="AVGAS"/>
    <s v="Vu Tien"/>
    <s v="CommonPot"/>
    <s v="LuxFuel mois août"/>
    <n v="374.91"/>
    <s v="LuxFuel"/>
    <n v="165.89"/>
    <x v="4"/>
    <n v="2.2599915606727352"/>
  </r>
  <r>
    <d v="2023-08-17T00:00:00"/>
    <s v="AVGAS"/>
    <s v="Vu Tien"/>
    <s v="Vu Tien"/>
    <s v="AVGAS Cuers 17/8 LFTF"/>
    <n v="385.28"/>
    <s v="VISA"/>
    <n v="140"/>
    <x v="4"/>
    <n v="2.7519999999999998"/>
  </r>
  <r>
    <d v="2023-08-18T00:00:00"/>
    <s v="AVGAS"/>
    <s v="Vu Tien"/>
    <s v="CommonPot"/>
    <s v="AVGAS Lasbordes 18/8 LFCL"/>
    <n v="452.91999999999996"/>
    <s v="AirTotal"/>
    <n v="174.2"/>
    <x v="4"/>
    <n v="2.6"/>
  </r>
  <r>
    <d v="2023-08-19T00:00:00"/>
    <s v="AVGAS"/>
    <s v="Vu Tien"/>
    <s v="Vu Tien"/>
    <s v="AVGAS Santander 19/8LFXJ"/>
    <n v="192.4"/>
    <s v="VISA"/>
    <n v="52"/>
    <x v="4"/>
    <n v="3.7"/>
  </r>
  <r>
    <d v="2023-08-24T00:00:00"/>
    <s v="AVGAS"/>
    <s v="Vu Tien"/>
    <s v="Vu Tien"/>
    <s v="AVGAS Cuers 24/8 LFTF"/>
    <n v="300.95"/>
    <s v="VISA"/>
    <n v="110.4"/>
    <x v="4"/>
    <n v="2.7259963768115938"/>
  </r>
  <r>
    <d v="2023-08-24T00:00:00"/>
    <s v="AVGAS"/>
    <s v="Vu Tien"/>
    <s v="Vu Tien"/>
    <s v="AVGAS Cuers 24/8 LFTF"/>
    <n v="86.23"/>
    <s v="VISA"/>
    <n v="35.299999999999997"/>
    <x v="4"/>
    <n v="2.4427762039660061"/>
  </r>
  <r>
    <d v="2023-09-03T00:00:00"/>
    <s v="AVGAS"/>
    <s v="Vu Tien"/>
    <s v="CommonPot"/>
    <s v="LuxFuel mois sep"/>
    <n v="224.06"/>
    <s v="LuxFuel"/>
    <n v="99.14"/>
    <x v="4"/>
    <n v="2.2600363122856568"/>
  </r>
  <r>
    <d v="2023-09-04T00:00:00"/>
    <s v="AVGAS"/>
    <s v="Vu Tien"/>
    <s v="CommonPot"/>
    <s v="LuxFuel mois sep"/>
    <n v="79.459999999999994"/>
    <s v="LuxFuel"/>
    <n v="35.159999999999997"/>
    <x v="4"/>
    <n v="2.2599544937428897"/>
  </r>
  <r>
    <d v="2023-09-08T00:00:00"/>
    <s v="AVGAS"/>
    <s v="Vu Tien"/>
    <s v="CommonPot"/>
    <s v="LuxFuel mois sep"/>
    <n v="533"/>
    <s v="LuxFuel"/>
    <n v="235.84"/>
    <x v="4"/>
    <n v="2.2600067842605154"/>
  </r>
  <r>
    <d v="2024-03-21T00:00:00"/>
    <s v="AVGAS"/>
    <s v="Vu Tien"/>
    <s v="CommonPot"/>
    <s v="LuxFuel mars 2024"/>
    <n v="196.57"/>
    <s v="LuxFuel"/>
    <n v="86.98"/>
    <x v="5"/>
    <n v="2.2599448148999768"/>
  </r>
  <r>
    <d v="2024-03-22T00:00:00"/>
    <s v="AVGAS"/>
    <s v="Vu Tien"/>
    <s v="CommonPot"/>
    <s v="LuxFuel mars 2024"/>
    <n v="531.01"/>
    <s v="LuxFuel"/>
    <n v="234.96"/>
    <x v="5"/>
    <n v="2.2600017024174326"/>
  </r>
  <r>
    <d v="2024-06-12T00:00:00"/>
    <s v="AVGAS"/>
    <s v="Vu Tien"/>
    <s v="CommonPot"/>
    <s v=" LuxFuel juin 2024"/>
    <n v="307.41000000000003"/>
    <s v="LuxFuel"/>
    <n v="134.83000000000001"/>
    <x v="5"/>
    <n v="2.2799821998071645"/>
  </r>
  <r>
    <d v="2024-06-23T00:00:00"/>
    <s v="AVGAS"/>
    <s v="Vu Tien"/>
    <s v="CommonPot"/>
    <s v=" LuxFuel juin 2024"/>
    <n v="452.17"/>
    <s v="LuxFuel"/>
    <n v="198.32"/>
    <x v="5"/>
    <n v="2.2800020169423156"/>
  </r>
  <r>
    <d v="2024-06-28T00:00:00"/>
    <s v="AVGAS"/>
    <s v="Vu Tien"/>
    <s v="CommonPot"/>
    <s v=" LuxFuel juin 2024"/>
    <n v="399.3"/>
    <s v="LuxFuel"/>
    <n v="175.13"/>
    <x v="5"/>
    <n v="2.2800205561582825"/>
  </r>
  <r>
    <d v="2024-06-28T00:00:00"/>
    <s v="AVGAS"/>
    <s v="Vu Tien"/>
    <s v="CommonPot"/>
    <s v="AirTotal Toulouse"/>
    <n v="314.27999999999997"/>
    <s v="AirTotal"/>
    <n v="116.4"/>
    <x v="5"/>
    <n v="2.6999999999999997"/>
  </r>
  <r>
    <d v="2024-07-03T00:00:00"/>
    <s v="AVGAS"/>
    <s v="Vu Tien"/>
    <s v="CommonPot"/>
    <s v="AirBP Son Bonet"/>
    <n v="610.95000000000005"/>
    <s v="AirBP"/>
    <n v="161"/>
    <x v="5"/>
    <n v="3.7947204968944104"/>
  </r>
  <r>
    <d v="2024-07-03T00:00:00"/>
    <s v="AVGAS"/>
    <s v="Vu Tien"/>
    <s v="CommonPot"/>
    <s v="AirBP Chambéry"/>
    <n v="309.35000000000002"/>
    <s v="AirBP"/>
    <n v="121.22"/>
    <x v="5"/>
    <n v="2.5519716218445803"/>
  </r>
  <r>
    <d v="2024-07-14T00:00:00"/>
    <s v="AVGAS"/>
    <s v="Vu Tien"/>
    <s v="CommonPot"/>
    <s v="juillet LuxFuel"/>
    <n v="318.68"/>
    <s v="LuxFuel"/>
    <n v="139.77000000000001"/>
    <x v="5"/>
    <n v="2.280031480289046"/>
  </r>
  <r>
    <d v="2024-07-18T00:00:00"/>
    <s v="AVGAS"/>
    <s v="Vu Tien"/>
    <s v="CommonPot"/>
    <s v="juillet LuxFuel"/>
    <n v="378.87"/>
    <s v="LuxFuel"/>
    <n v="167.64"/>
    <x v="5"/>
    <n v="2.2600214745884037"/>
  </r>
  <r>
    <d v="2024-07-24T00:00:00"/>
    <s v="AVGAS"/>
    <s v="Vu Tien"/>
    <s v="CommonPot"/>
    <s v="juillet LuxFuel"/>
    <n v="413.85"/>
    <s v="LuxFuel"/>
    <n v="183.12"/>
    <x v="5"/>
    <n v="2.2599934469200527"/>
  </r>
  <r>
    <d v="2024-08-09T00:00:00"/>
    <s v="AVGAS"/>
    <s v="Vu Tien"/>
    <s v="CommonPot"/>
    <s v="août LuxFuel"/>
    <n v="309.36"/>
    <s v="LuxFuel"/>
    <n v="138.9"/>
    <x v="5"/>
    <n v="2.2272138228941687"/>
  </r>
  <r>
    <d v="2024-08-10T00:00:00"/>
    <s v="AVGAS"/>
    <s v="Vu Tien"/>
    <s v="CommonPot"/>
    <s v="AVGAS AirTotal Annecy LFLP"/>
    <n v="125.14"/>
    <s v="AirTotal"/>
    <n v="44.02"/>
    <x v="5"/>
    <n v="2.8427987278509765"/>
  </r>
  <r>
    <d v="2024-08-11T00:00:00"/>
    <s v="AVGAS"/>
    <s v="Vu Tien"/>
    <s v="CommonPot"/>
    <s v="août LuxFuel"/>
    <n v="507.98"/>
    <s v="LuxFuel"/>
    <n v="228.82"/>
    <x v="5"/>
    <n v="2.2199982519010577"/>
  </r>
  <r>
    <d v="2024-08-15T00:00:00"/>
    <s v="AVGAS"/>
    <s v="Vu Tien"/>
    <s v="CommonPot"/>
    <s v="août LuxFuel"/>
    <n v="449.84"/>
    <s v="LuxFuel"/>
    <n v="202.63"/>
    <x v="5"/>
    <n v="2.2200069091447463"/>
  </r>
  <r>
    <d v="2024-08-15T00:00:00"/>
    <s v="AVGAS"/>
    <s v="Guy"/>
    <s v="Vu Tien"/>
    <s v="AirTotal LFCZ Mimizan"/>
    <n v="456.68"/>
    <s v="AirTotal"/>
    <n v="165.46"/>
    <x v="5"/>
    <n v="2.760062855070712"/>
  </r>
  <r>
    <d v="2024-08-22T00:00:00"/>
    <s v="AVGAS"/>
    <s v="Vu Tien"/>
    <s v="CommonPot"/>
    <s v="août LuxFuel"/>
    <n v="397.45"/>
    <s v="LuxFuel"/>
    <n v="179.03"/>
    <x v="5"/>
    <n v="2.2200189912305199"/>
  </r>
  <r>
    <d v="2024-08-29T00:00:00"/>
    <s v="AVGAS"/>
    <s v="Vu Tien"/>
    <s v="CommonPot"/>
    <s v="août LuxFuel"/>
    <n v="481.56"/>
    <s v="LuxFuel"/>
    <n v="216.92"/>
    <x v="5"/>
    <n v="2.219988936013277"/>
  </r>
  <r>
    <d v="2024-09-01T00:00:00"/>
    <s v="AVGAS"/>
    <s v="Vu Tien"/>
    <s v="Vu Tien"/>
    <s v="AVGAS Portoroz"/>
    <n v="147.6566"/>
    <s v="VISA"/>
    <n v="60"/>
    <x v="5"/>
    <n v="2.4609433333333333"/>
  </r>
  <r>
    <d v="2024-09-08T00:00:00"/>
    <s v="AVGAS"/>
    <s v="Vu Tien"/>
    <s v="CommonPot"/>
    <s v="septembre LuxFuel"/>
    <n v="307.45"/>
    <s v="LuxFuel"/>
    <n v="138.49"/>
    <x v="5"/>
    <n v="2.2200158856235106"/>
  </r>
  <r>
    <d v="2024-09-08T00:00:00"/>
    <s v="AVGAS"/>
    <s v="Vu Tien"/>
    <s v="CommonPot"/>
    <s v="septembre LuxFuel"/>
    <n v="257.25"/>
    <s v="LuxFuel"/>
    <n v="115.88"/>
    <x v="5"/>
    <n v="2.219968933379358"/>
  </r>
  <r>
    <d v="2024-09-13T00:00:00"/>
    <s v="AVGAS"/>
    <s v="Vu Tien"/>
    <s v="CommonPot"/>
    <s v="AirTotal Toulouse LFCL"/>
    <n v="67.13"/>
    <s v="AirTotal"/>
    <n v="25.91"/>
    <x v="5"/>
    <n v="2.5908915476649939"/>
  </r>
  <r>
    <d v="2024-10-04T00:00:00"/>
    <s v="AVGAS"/>
    <s v="Vu Tien"/>
    <s v="CommonPot"/>
    <s v="octobre LuxFuel"/>
    <n v="269.02999999999997"/>
    <s v="LuxFuel"/>
    <n v="125.13"/>
    <x v="5"/>
    <n v="2.1500039958443216"/>
  </r>
  <r>
    <d v="2024-10-04T00:00:00"/>
    <s v="AVGAS"/>
    <s v="Vu Tien"/>
    <s v="CommonPot"/>
    <s v="octobre LuxFuel"/>
    <n v="373.2"/>
    <s v="LuxFuel"/>
    <n v="173.58"/>
    <x v="5"/>
    <n v="2.1500172830971307"/>
  </r>
  <r>
    <d v="2024-10-20T00:00:00"/>
    <s v="AVGAS"/>
    <s v="Vu Tien"/>
    <s v="CommonPot"/>
    <s v="octobre LuxFuel"/>
    <n v="263.58999999999997"/>
    <s v="LuxFuel"/>
    <n v="122.6"/>
    <x v="5"/>
    <n v="2.15"/>
  </r>
  <r>
    <d v="2024-11-26T00:00:00"/>
    <s v="AVGAS"/>
    <s v="Vu Tien"/>
    <s v="CommonPot"/>
    <s v="novembre LuxFuel"/>
    <n v="268.72000000000003"/>
    <s v="LuxFuel"/>
    <n v="127.96"/>
    <x v="5"/>
    <n v="2.1000312597686781"/>
  </r>
  <r>
    <d v="2024-11-29T00:00:00"/>
    <s v="AVGAS"/>
    <s v="Vu Tien"/>
    <s v="CommonPot"/>
    <s v="novembre LuxFuel"/>
    <n v="100.59"/>
    <s v="LuxFuel"/>
    <n v="47.9"/>
    <x v="5"/>
    <n v="2.1"/>
  </r>
  <r>
    <d v="2024-11-29T00:00:00"/>
    <s v="AVGAS"/>
    <s v="Vu Tien"/>
    <s v="CommonPot"/>
    <s v="novembre LuxFuel"/>
    <n v="339.84"/>
    <s v="LuxFuel"/>
    <n v="161.83000000000001"/>
    <x v="5"/>
    <n v="2.0999814620280537"/>
  </r>
  <r>
    <d v="2024-12-01T00:00:00"/>
    <s v="AVGAS"/>
    <s v="Vu Tien"/>
    <s v="CommonPot"/>
    <s v="AirTotal Toulouse LFCL"/>
    <n v="114.54"/>
    <s v="AirTotal"/>
    <n v="45.98"/>
    <x v="5"/>
    <n v="2.4910830795998264"/>
  </r>
  <r>
    <d v="2024-12-02T00:00:00"/>
    <s v="AVGAS"/>
    <s v="Vu Tien"/>
    <s v="Vu Tien"/>
    <s v="AVGAS Reims LFQA"/>
    <n v="325.72000000000003"/>
    <s v="VISA"/>
    <n v="119.75"/>
    <x v="5"/>
    <n v="2.72"/>
  </r>
  <r>
    <d v="2025-02-01T00:00:00"/>
    <s v="AVGAS"/>
    <s v="Vu Tien"/>
    <s v="CommonPot"/>
    <s v="février LuxFuel"/>
    <n v="301.58"/>
    <s v="LuxFuel"/>
    <n v="143.61000000000001"/>
    <x v="6"/>
    <n v="2.0999930366966084"/>
  </r>
  <r>
    <d v="2025-02-13T00:00:00"/>
    <s v="AVGAS"/>
    <s v="Vu Tien"/>
    <s v="CommonPot"/>
    <s v="février LuxFuel"/>
    <n v="308.22000000000003"/>
    <s v="LuxFuel"/>
    <n v="146.77000000000001"/>
    <x v="6"/>
    <n v="2.1000204401444438"/>
  </r>
  <r>
    <d v="2025-02-23T00:00:00"/>
    <s v="AVGAS"/>
    <s v="Vu Tien"/>
    <s v="CommonPot"/>
    <s v="février LuxFuel"/>
    <n v="46.43"/>
    <s v="LuxFuel"/>
    <n v="22.11"/>
    <x v="6"/>
    <n v="2.0999547715965625"/>
  </r>
  <r>
    <d v="2025-03-03T00:00:00"/>
    <s v="AVGAS"/>
    <s v="Vu Tien"/>
    <s v="CommonPot"/>
    <s v="mars LuxFuel"/>
    <n v="205.53"/>
    <s v="LuxFuel"/>
    <n v="97.87"/>
    <x v="6"/>
    <n v="2.1000306529069173"/>
  </r>
  <r>
    <d v="2025-05-24T00:00:00"/>
    <s v="AVGAS"/>
    <s v="Vu Tien"/>
    <s v="CommonPot"/>
    <s v="mai LuxFuel"/>
    <n v="174.89"/>
    <s v="LuxFuel"/>
    <n v="86.58"/>
    <x v="6"/>
    <n v="2.0199815199815196"/>
  </r>
  <r>
    <d v="2025-05-24T00:00:00"/>
    <s v="AVGAS"/>
    <s v="Vu Tien"/>
    <s v="CommonPot"/>
    <s v="mai LuxFuel"/>
    <n v="0"/>
    <s v="LuxFuel"/>
    <n v="0.01"/>
    <x v="6"/>
    <n v="0"/>
  </r>
  <r>
    <d v="2025-05-24T00:00:00"/>
    <s v="AVGAS"/>
    <s v="Vu Tien"/>
    <s v="CommonPot"/>
    <s v="mai LuxFuel"/>
    <n v="93.61"/>
    <s v="LuxFuel"/>
    <n v="46.34"/>
    <x v="6"/>
    <n v="2.0200690548122568"/>
  </r>
  <r>
    <d v="2025-06-02T00:00:00"/>
    <s v="AVGAS"/>
    <s v="Vu Tien"/>
    <s v="CommonPot"/>
    <s v="juin LuxFuel"/>
    <n v="252.58"/>
    <s v="LuxFuel"/>
    <n v="125.04"/>
    <x v="6"/>
    <n v="2.0199936020473448"/>
  </r>
  <r>
    <d v="2025-06-06T00:00:00"/>
    <s v="AVGAS"/>
    <s v="Vu Tien"/>
    <s v="CommonPot"/>
    <s v="AVGAS AirTotal Perpignan LFMP"/>
    <n v="465.88"/>
    <s v="AirTotal"/>
    <n v="187.07"/>
    <x v="6"/>
    <n v="2.4904046613567115"/>
  </r>
  <r>
    <d v="2025-06-06T00:00:00"/>
    <s v="AVGAS"/>
    <s v="Vu Tien"/>
    <s v="Vu Tien"/>
    <s v="AVGAS Mutxamel LEMU"/>
    <n v="361.23"/>
    <s v="VISA"/>
    <n v="118"/>
    <x v="6"/>
    <n v="3.0612711864406781"/>
  </r>
  <r>
    <d v="2025-06-09T00:00:00"/>
    <s v="AVGAS"/>
    <s v="Vu Tien"/>
    <s v="CommonPot"/>
    <s v="AVGAS AirTotal Béziers LFMU"/>
    <n v="227.04"/>
    <s v="AirTotal"/>
    <n v="91.44"/>
    <x v="6"/>
    <n v="2.4829396325459316"/>
  </r>
  <r>
    <d v="2025-06-17T00:00:00"/>
    <s v="AVGAS"/>
    <s v="Vu Tien"/>
    <s v="CommonPot"/>
    <s v="juin LuxFuel"/>
    <n v="498.96"/>
    <s v="LuxFuel"/>
    <n v="249.48"/>
    <x v="6"/>
    <n v="2"/>
  </r>
  <r>
    <d v="2025-06-27T00:00:00"/>
    <s v="AVGAS"/>
    <s v="Vu Tien"/>
    <s v="CommonPot"/>
    <s v="juin LuxFuel"/>
    <n v="236.4"/>
    <s v="LuxFuel"/>
    <n v="118.2"/>
    <x v="6"/>
    <n v="2"/>
  </r>
  <r>
    <d v="2025-07-02T00:00:00"/>
    <s v="AVGAS"/>
    <s v="Vu Tien"/>
    <s v="CommonPot"/>
    <s v="juilet LuxFuel"/>
    <n v="194.68"/>
    <s v="LuxFuel"/>
    <n v="97.34"/>
    <x v="6"/>
    <n v="2"/>
  </r>
  <r>
    <d v="2025-07-03T00:00:00"/>
    <s v="AVGAS"/>
    <s v="Vu Tien"/>
    <s v="CommonPot"/>
    <s v="AVGAS Aubenas"/>
    <n v="234.47"/>
    <s v="AirTotal"/>
    <n v="98.6"/>
    <x v="6"/>
    <n v="2.3779918864097365"/>
  </r>
  <r>
    <d v="2025-07-09T00:00:00"/>
    <s v="AVGAS"/>
    <s v="Vu Tien"/>
    <s v="CommonPot"/>
    <s v="juilet LuxFuel"/>
    <n v="438.46"/>
    <s v="LuxFuel"/>
    <n v="219.23"/>
    <x v="6"/>
    <n v="2"/>
  </r>
  <r>
    <d v="2025-07-10T00:00:00"/>
    <s v="AVGAS"/>
    <s v="Vu Tien"/>
    <s v="CommonPot"/>
    <s v="AVGAS AirTotal Perpignan LFMP"/>
    <n v="162.27000000000001"/>
    <s v="AirTotal"/>
    <n v="62.27"/>
    <x v="6"/>
    <n v="2.6059097478721696"/>
  </r>
  <r>
    <d v="2025-07-23T00:00:00"/>
    <s v="AVGAS"/>
    <s v="Vu Tien"/>
    <s v="CommonPot"/>
    <s v="juilet LuxFuel"/>
    <n v="484.43"/>
    <s v="LuxFuel"/>
    <n v="241.01"/>
    <x v="6"/>
    <n v="2.0099995850794574"/>
  </r>
  <r>
    <d v="2025-07-27T00:00:00"/>
    <s v="AVGAS"/>
    <s v="Vu Tien"/>
    <s v="CommonPot"/>
    <s v="AVGAS AirTotal Arcachon LFCH"/>
    <n v="229.12799999999999"/>
    <s v="AirTotal"/>
    <n v="88.36"/>
    <x v="6"/>
    <n v="2.5931190583974648"/>
  </r>
  <r>
    <d v="2025-08-07T00:00:00"/>
    <s v="AVGAS"/>
    <s v="Vu Tien"/>
    <s v="CommonPot"/>
    <s v="août LuxFuel"/>
    <n v="247.17"/>
    <s v="LuxFuel"/>
    <n v="122.97"/>
    <x v="6"/>
    <n v="2.0100024396194192"/>
  </r>
  <r>
    <d v="2025-08-07T00:00:00"/>
    <s v="AVGAS"/>
    <s v="Vu Tien"/>
    <s v="CommonPot"/>
    <s v="août LuxFuel"/>
    <n v="224.58"/>
    <s v="LuxFuel"/>
    <n v="111.73"/>
    <x v="6"/>
    <n v="2.010024165398729"/>
  </r>
  <r>
    <d v="2025-08-10T00:00:00"/>
    <s v="AVGAS"/>
    <s v="Vu Tien"/>
    <s v="CommonPot"/>
    <s v="AVGAS AirTotal Lasbordes LFCL"/>
    <n v="387.06"/>
    <s v="AirTotal"/>
    <n v="151.24"/>
    <x v="6"/>
    <n v="2.5592435863528165"/>
  </r>
  <r>
    <d v="2025-08-22T00:00:00"/>
    <s v="AVGAS"/>
    <s v="Vu Tien"/>
    <s v="CommonPot"/>
    <s v="août LuxFuel"/>
    <n v="468.75"/>
    <s v="LuxFuel"/>
    <n v="233.21"/>
    <x v="6"/>
    <n v="2.0099909952403414"/>
  </r>
  <r>
    <d v="2025-08-24T00:00:00"/>
    <s v="AVGAS"/>
    <s v="Vu Tien"/>
    <s v="CommonPot"/>
    <s v="août LuxFuel"/>
    <n v="306.16000000000003"/>
    <s v="LuxFuel"/>
    <n v="152.32"/>
    <x v="6"/>
    <n v="2.0099789915966388"/>
  </r>
  <r>
    <d v="2025-09-06T00:00:00"/>
    <s v="AVGAS"/>
    <s v="Vu Tien"/>
    <s v="Vu Tien"/>
    <s v="AVGAS Portoroz LJPZ"/>
    <n v="230"/>
    <s v="VISA"/>
    <n v="85"/>
    <x v="6"/>
    <n v="2.7058823529411766"/>
  </r>
  <r>
    <d v="2025-09-19T00:00:00"/>
    <s v="AVGAS"/>
    <s v="Vu Tien"/>
    <s v="CommonPot"/>
    <s v="septembre LuxFuel"/>
    <n v="544.96"/>
    <s v="LuxFuel"/>
    <n v="269.70999999999998"/>
    <x v="6"/>
    <n v="2.0205405806236332"/>
  </r>
  <r>
    <d v="2025-09-26T00:00:00"/>
    <s v="AVGAS"/>
    <s v="Vu Tien"/>
    <s v="CommonPot"/>
    <s v="septembre LuxFuel"/>
    <n v="367.24"/>
    <s v="LuxFuel"/>
    <n v="181.8"/>
    <x v="6"/>
    <n v="2.02002200220022"/>
  </r>
  <r>
    <d v="2025-09-28T00:00:00"/>
    <s v="AVGAS"/>
    <s v="Vu Tien"/>
    <s v="CommonPot"/>
    <s v="AVGAS Aix-en-Provence LFMA"/>
    <n v="83.73"/>
    <s v="AirTotal"/>
    <n v="32.03"/>
    <x v="6"/>
    <n v="2.6141117702154233"/>
  </r>
  <r>
    <d v="2025-10-01T00:00:00"/>
    <s v="AVGAS"/>
    <s v="Vu Tien"/>
    <s v="CommonPot"/>
    <s v="octobre LuxFuel"/>
    <n v="301.12"/>
    <s v="LuxFuel"/>
    <n v="149.07"/>
    <x v="6"/>
    <n v="2.0199906084389885"/>
  </r>
  <r>
    <d v="2025-11-29T00:00:00"/>
    <s v="AVGAS"/>
    <s v="Vu Tien"/>
    <s v="CommonPot"/>
    <s v="AVGAS Perpignan LFMP"/>
    <n v="527.57000000000005"/>
    <s v="AirTotal"/>
    <n v="212.8"/>
    <x v="6"/>
    <n v="2.4791823308270677"/>
  </r>
  <r>
    <d v="2025-12-01T00:00:00"/>
    <s v="AVGAS"/>
    <s v="Vu Tien"/>
    <s v="CommonPot"/>
    <s v="AVGAS Chambéry LFLB"/>
    <n v="214.15"/>
    <s v="AirBP"/>
    <n v="80"/>
    <x v="6"/>
    <n v="2.6768749999999999"/>
  </r>
  <r>
    <d v="2026-01-01T00:00:00"/>
    <s v="AVGAS"/>
    <s v="Vu Tien"/>
    <s v="Vu Tien"/>
    <s v="Filler to start the year"/>
    <n v="0.01"/>
    <s v="VISA"/>
    <n v="3.7037037037037034E-3"/>
    <x v="7"/>
    <n v="2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1DA6F-0571-0C4A-93AC-C35573D22868}" name="PivotTable4" cacheId="9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4:L71" firstHeaderRow="1" firstDataRow="2" firstDataCol="1"/>
  <pivotFields count="21">
    <pivotField numFmtId="14"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axis="axisCol" numFmtId="1" showAll="0">
      <items count="12">
        <item m="1" x="8"/>
        <item m="1" x="9"/>
        <item m="1" x="7"/>
        <item x="0"/>
        <item x="1"/>
        <item x="2"/>
        <item x="3"/>
        <item x="4"/>
        <item x="5"/>
        <item x="6"/>
        <item m="1" x="10"/>
        <item t="default"/>
      </items>
    </pivotField>
    <pivotField numFmtId="164" showAll="0"/>
    <pivotField numFmtId="43" showAll="0"/>
    <pivotField showAll="0"/>
    <pivotField showAll="0"/>
    <pivotField showAll="0"/>
    <pivotField dataField="1" numFmtId="44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8"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ripPriceLegac" fld="19" baseField="0" baseItem="0" numFmtId="4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C245C-48BC-7443-8E62-ACAE6A04CC32}" name="pvtContribs" cacheId="92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D48:K54" firstHeaderRow="1" firstDataRow="2" firstDataCol="1"/>
  <pivotFields count="5">
    <pivotField numFmtId="14" showAll="0"/>
    <pivotField showAll="0"/>
    <pivotField axis="axisRow" showAll="0">
      <items count="7">
        <item x="3"/>
        <item x="2"/>
        <item x="1"/>
        <item m="1" x="5"/>
        <item x="0"/>
        <item x="4"/>
        <item t="default"/>
      </items>
    </pivotField>
    <pivotField dataField="1" numFmtId="43"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"/>
  </rowFields>
  <rowItems count="5">
    <i>
      <x/>
    </i>
    <i>
      <x v="1"/>
    </i>
    <i>
      <x v="2"/>
    </i>
    <i>
      <x v="4"/>
    </i>
    <i>
      <x v="5"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um of AmountIn" fld="3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60F6F-8241-3245-BB7E-DFC507030D2C}" name="pvtExpensesByCategory" cacheId="9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3:L23" firstHeaderRow="1" firstDataRow="2" firstDataCol="1"/>
  <pivotFields count="14">
    <pivotField numFmtId="14" showAll="0"/>
    <pivotField showAll="0"/>
    <pivotField showAll="0"/>
    <pivotField axis="axisRow" showAll="0">
      <items count="27">
        <item x="6"/>
        <item x="8"/>
        <item x="10"/>
        <item m="1" x="21"/>
        <item x="9"/>
        <item m="1" x="24"/>
        <item m="1" x="23"/>
        <item x="5"/>
        <item x="2"/>
        <item x="15"/>
        <item m="1" x="25"/>
        <item x="12"/>
        <item x="16"/>
        <item m="1" x="19"/>
        <item x="7"/>
        <item x="11"/>
        <item x="4"/>
        <item x="17"/>
        <item x="18"/>
        <item x="14"/>
        <item m="1" x="22"/>
        <item x="13"/>
        <item x="3"/>
        <item x="0"/>
        <item h="1" m="1" x="2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m="1" x="9"/>
        <item m="1" x="10"/>
        <item m="1" x="11"/>
        <item m="1" x="12"/>
        <item m="1" x="13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numFmtId="43" showAll="0"/>
  </pivotFields>
  <rowFields count="1">
    <field x="3"/>
  </rowFields>
  <rowItems count="19">
    <i>
      <x/>
    </i>
    <i>
      <x v="1"/>
    </i>
    <i>
      <x v="2"/>
    </i>
    <i>
      <x v="4"/>
    </i>
    <i>
      <x v="7"/>
    </i>
    <i>
      <x v="8"/>
    </i>
    <i>
      <x v="9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 t="grand">
      <x/>
    </i>
  </rowItems>
  <colFields count="1">
    <field x="10"/>
  </colFields>
  <colItems count="10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AmountOut" fld="13" baseField="0" baseItem="0" numFmtId="43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C63FA-C069-3B4E-B418-7B4A87ADE5C6}" name="pvtTrips" cacheId="928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3:L35" firstHeaderRow="1" firstDataRow="2" firstDataCol="1"/>
  <pivotFields count="21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numFmtId="1" showAll="0">
      <items count="12">
        <item m="1" x="9"/>
        <item m="1" x="7"/>
        <item x="0"/>
        <item x="1"/>
        <item x="2"/>
        <item x="3"/>
        <item x="4"/>
        <item x="5"/>
        <item x="6"/>
        <item m="1" x="10"/>
        <item m="1" x="8"/>
        <item t="default"/>
      </items>
    </pivotField>
    <pivotField dataField="1" numFmtId="164" showAll="0"/>
    <pivotField numFmtId="43" showAll="0"/>
    <pivotField showAll="0"/>
    <pivotField numFmtId="43" showAll="0"/>
    <pivotField numFmtId="44" showAll="0"/>
    <pivotField numFmtId="44" showAll="0"/>
    <pivotField numFmtId="44" showAll="0"/>
  </pivotFields>
  <rowItems count="1">
    <i/>
  </rowItems>
  <colFields count="1">
    <field x="13"/>
  </colFields>
  <col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CTripHobbs" fld="14" baseField="0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70A00-6384-BF4F-A9C7-F5A2B161FA90}" name="pvtExpensesByGroup" cacheId="9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9:L44" firstHeaderRow="1" firstDataRow="2" firstDataCol="1"/>
  <pivotFields count="14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m="1" x="9"/>
        <item m="1" x="10"/>
        <item m="1" x="11"/>
        <item m="1" x="12"/>
        <item m="1" x="13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5">
        <item x="0"/>
        <item x="1"/>
        <item x="2"/>
        <item h="1" m="1" x="3"/>
        <item t="default"/>
      </items>
    </pivotField>
    <pivotField showAll="0"/>
    <pivotField dataField="1" numFmtId="43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0"/>
  </colFields>
  <colItems count="10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AmountOut" fld="13" baseField="0" baseItem="0" numFmtId="43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DCCC2-E409-714F-8C6A-9FFDABAF58A1}" name="pvtLabor" cacheId="9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8:L60" firstHeaderRow="1" firstDataRow="2" firstDataCol="1"/>
  <pivotFields count="14"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15">
        <item m="1" x="9"/>
        <item m="1" x="10"/>
        <item m="1" x="11"/>
        <item m="1" x="12"/>
        <item m="1" x="13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numFmtId="43" showAll="0"/>
    <pivotField numFmtId="43" showAll="0"/>
  </pivotFields>
  <rowItems count="1">
    <i/>
  </rowItems>
  <colFields count="1">
    <field x="10"/>
  </colFields>
  <colItems count="10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ManHou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CD14E-FCF6-F045-90C0-9E123633CB30}" name="pvtFuel" cacheId="93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6:L29" firstHeaderRow="1" firstDataRow="2" firstDataCol="1"/>
  <pivotFields count="10">
    <pivotField numFmtId="14" showAll="0"/>
    <pivotField showAll="0"/>
    <pivotField showAll="0"/>
    <pivotField showAll="0"/>
    <pivotField showAll="0"/>
    <pivotField dataField="1" showAll="0"/>
    <pivotField showAll="0"/>
    <pivotField dataField="1" showAll="0"/>
    <pivotField axis="axisCol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1">
    <field x="-2"/>
  </rowFields>
  <rowItems count="2">
    <i>
      <x/>
    </i>
    <i i="1">
      <x v="1"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2">
    <dataField name="Sum of TTCAmount" fld="5" baseField="0" baseItem="0"/>
    <dataField name="Sum of volAVGAS_L" fld="7" baseField="0" baseItem="0"/>
  </dataFields>
  <formats count="2">
    <format dxfId="9">
      <pivotArea outline="0" collapsedLevelsAreSubtotals="1" fieldPosition="0"/>
    </format>
    <format dxfId="8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11F466-9F8C-A143-B297-792E0A7BDDD6}" name="tblFlightTime" displayName="tblFlightTime" ref="B4:K7" totalsRowShown="0" headerRowDxfId="67" tableBorderDxfId="66">
  <autoFilter ref="B4:K7" xr:uid="{9211F466-9F8C-A143-B297-792E0A7BDDD6}"/>
  <tableColumns count="10">
    <tableColumn id="1" xr3:uid="{73CF5BAF-2520-A549-88CD-91C218D7356E}" name="Column1" dataDxfId="65"/>
    <tableColumn id="2" xr3:uid="{27D06870-13B5-1547-B34D-C8B1E03213FA}" name="2018"/>
    <tableColumn id="3" xr3:uid="{4B62B2E3-E7E3-0E4B-8DAC-1BF5436B43B4}" name="2019"/>
    <tableColumn id="4" xr3:uid="{7F62910F-FE84-B743-8B57-69660E27E21D}" name="2020"/>
    <tableColumn id="5" xr3:uid="{E62A692F-18E5-CE4B-87E4-39A898BB5DDA}" name="2021"/>
    <tableColumn id="6" xr3:uid="{7347D635-5646-264D-B269-7C7B5968031B}" name="2022"/>
    <tableColumn id="7" xr3:uid="{8FB6691F-46B0-9C4F-BF7F-61FC42108BA9}" name="2023"/>
    <tableColumn id="8" xr3:uid="{1AF768D1-F964-FB48-97F0-AF7BADD8D871}" name="2024"/>
    <tableColumn id="9" xr3:uid="{55B55455-1064-8140-9146-3E9EBA349F78}" name="2025"/>
    <tableColumn id="10" xr3:uid="{85A4DEF5-84F5-5643-A367-C7BB9AA1B068}" name="20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DC8B4B-11D6-2443-AB2D-2406878CBC58}" name="tblExpenses" displayName="tblExpenses" ref="A1:N41" totalsRowShown="0">
  <autoFilter ref="A1:N41" xr:uid="{2A4D39E8-C1CB-3B4E-B09D-91D5FF637ED0}"/>
  <tableColumns count="14">
    <tableColumn id="1" xr3:uid="{9B411B69-9282-2248-BD38-76CA4F43AB1C}" name="Date" dataDxfId="64"/>
    <tableColumn id="2" xr3:uid="{550AEFE8-FFC0-7945-8137-FE050C4ED9E5}" name="ExpenseName" dataDxfId="63"/>
    <tableColumn id="3" xr3:uid="{68855808-E3F0-F348-A037-456691DD68C7}" name="InvoiceName" dataDxfId="62"/>
    <tableColumn id="4" xr3:uid="{7BCD34E7-52B6-AD4C-81D1-237BA0F63656}" name="Category" dataDxfId="61"/>
    <tableColumn id="10" xr3:uid="{7DDA89D3-CB9B-7D49-BE41-5ABB93DB6540}" name="ManHour" dataDxfId="60"/>
    <tableColumn id="9" xr3:uid="{DE9441A8-00AA-1F49-9E39-5C06D5EB0BDF}" name="PilotPaying" dataDxfId="59"/>
    <tableColumn id="13" xr3:uid="{C8442970-B22C-A546-A27A-4DEDB4B633E9}" name="FundSource" dataDxfId="58" dataCellStyle="Comma"/>
    <tableColumn id="14" xr3:uid="{0D8E0273-F4DB-4C45-A4E2-6B9728300548}" name="AmountIn" dataDxfId="57" dataCellStyle="Comma"/>
    <tableColumn id="5" xr3:uid="{D7418CBB-EE06-2541-A07B-8313CEC595ED}" name="HTAmount" dataDxfId="56" dataCellStyle="Comma"/>
    <tableColumn id="6" xr3:uid="{781479F0-2A25-C14E-8EC8-728991B60034}" name="VATRate" dataDxfId="55"/>
    <tableColumn id="7" xr3:uid="{DCF07A86-B8C7-7347-A88D-C1D814EA7419}" name="Year" dataDxfId="54" dataCellStyle="Per cent">
      <calculatedColumnFormula>YEAR(tblExpenses[[#This Row],[Date]])</calculatedColumnFormula>
    </tableColumn>
    <tableColumn id="8" xr3:uid="{95BA8E6C-C2E0-114A-AE93-8729EC3867D1}" name="CategoryGroup" dataDxfId="53" dataCellStyle="Per cent">
      <calculatedColumnFormula>LEFT(tblExpenses[[#This Row],[Category]],1)</calculatedColumnFormula>
    </tableColumn>
    <tableColumn id="11" xr3:uid="{9A290B87-0AAB-EC45-8FC6-5FC6E884FB91}" name="VATAmount" dataDxfId="52" dataCellStyle="Comma">
      <calculatedColumnFormula>tblExpenses[[#This Row],[VATRate]]*tblExpenses[[#This Row],[HTAmount]]</calculatedColumnFormula>
    </tableColumn>
    <tableColumn id="12" xr3:uid="{37614EFC-6294-6B44-9786-27346EAD00D9}" name="AmountOut" dataDxfId="51" dataCellStyle="Comma">
      <calculatedColumnFormula>tblExpenses[[#This Row],[VATAmount]]+tblExpenses[[#This Row],[HTAmount]]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4D6E0F-1238-2541-BD58-8FE61CF6677F}" name="tblAVGAS3" displayName="tblAVGAS3" ref="A1:J12" totalsRowShown="0">
  <autoFilter ref="A1:J12" xr:uid="{A929D096-8740-BE4C-AC72-CF3FB686C0DE}"/>
  <tableColumns count="10">
    <tableColumn id="1" xr3:uid="{B9111194-54F8-AF4D-A500-6D56A40A2235}" name="Date" dataDxfId="50"/>
    <tableColumn id="9" xr3:uid="{78CF9710-10B1-A842-8EE4-79671398CC62}" name="Category" dataDxfId="49"/>
    <tableColumn id="19" xr3:uid="{5E23C47C-BB57-BA4A-814E-783DDBD96C09}" name="PilotFlying" dataDxfId="48"/>
    <tableColumn id="18" xr3:uid="{19A291BE-F117-1F47-9215-7DF36D625B8D}" name="Fundsource" dataDxfId="47"/>
    <tableColumn id="2" xr3:uid="{A7453F6D-E33E-5D47-8033-F5CA83BEC199}" name="LogDescription" dataDxfId="46"/>
    <tableColumn id="3" xr3:uid="{69AABA6F-DFC8-EB42-9A1E-5A0451DDA209}" name="TTCAmount" dataDxfId="45"/>
    <tableColumn id="8" xr3:uid="{D34DC67C-9B3B-654A-A15A-5E99DD695F19}" name="FuelProvider" dataDxfId="44"/>
    <tableColumn id="4" xr3:uid="{544EA911-F4F9-B94F-8BE4-E6DBEE4D6DAD}" name="volAVGAS_L" dataDxfId="43" dataCellStyle="Comma"/>
    <tableColumn id="5" xr3:uid="{2D0D1240-F184-DC49-B9B8-60D35F96E911}" name="Year" dataDxfId="42" dataCellStyle="Comma">
      <calculatedColumnFormula>YEAR(tblAVGAS3[[#This Row],[Date]])</calculatedColumnFormula>
    </tableColumn>
    <tableColumn id="7" xr3:uid="{697692C0-49BB-9E4C-8BF1-96FD5D22DF13}" name="UnitPrice" dataDxfId="41">
      <calculatedColumnFormula>IF(tblAVGAS3[[#This Row],[Category]]="AVGAS",tblAVGAS3[[#This Row],[TTCAmount]]/tblAVGAS3[[#This Row],[volAVGAS_L]],"")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29D096-8740-BE4C-AC72-CF3FB686C0DE}" name="tblTrips" displayName="tblTrips" ref="A1:U22" totalsRowShown="0">
  <autoFilter ref="A1:U22" xr:uid="{A929D096-8740-BE4C-AC72-CF3FB686C0DE}"/>
  <tableColumns count="21">
    <tableColumn id="1" xr3:uid="{5DD47A1B-EAB9-1349-A73F-E5D67E614AF5}" name="Date" dataDxfId="40"/>
    <tableColumn id="25" xr3:uid="{70BDDC17-2D08-B34E-BA0E-E421F4E0E95F}" name="Category" dataDxfId="39"/>
    <tableColumn id="19" xr3:uid="{C169838D-A977-FE47-A7B0-67A8561C657B}" name="PilotFlying" dataDxfId="38"/>
    <tableColumn id="18" xr3:uid="{2BF46495-47FE-154D-9949-4617391780D0}" name="Fundsource" dataDxfId="37"/>
    <tableColumn id="14" xr3:uid="{EA5C55DA-1032-C64C-9BE4-941325B31D27}" name="DepPlace" dataDxfId="36"/>
    <tableColumn id="15" xr3:uid="{2E415A13-68D9-BE49-A36F-7C8B32AEBD44}" name="DepTime" dataDxfId="35"/>
    <tableColumn id="12" xr3:uid="{BBF5ADD8-0BBE-3D47-9B90-F2F575C4C617}" name="ArrPlace" dataDxfId="34"/>
    <tableColumn id="13" xr3:uid="{70903523-78E7-6348-8B08-93E19CF134F9}" name="ArrTime" dataDxfId="33"/>
    <tableColumn id="11" xr3:uid="{7045CC71-6ABB-6C43-80C8-526F838D82A5}" name="DepHobbs" dataDxfId="32"/>
    <tableColumn id="10" xr3:uid="{6426F805-F88C-494D-B068-85ABC3B7A0ED}" name="ArrHobbs" dataDxfId="31"/>
    <tableColumn id="17" xr3:uid="{44D4FC58-EC63-3C4D-A2F2-951EFD89A8C0}" name="PriceType" dataDxfId="30"/>
    <tableColumn id="21" xr3:uid="{85ED686E-E98B-D14B-BD92-052CDC29C901}" name="FlRule" dataDxfId="29"/>
    <tableColumn id="2" xr3:uid="{8977B58D-3472-6942-87AA-4F3C74C1225C}" name="LogDescription" dataDxfId="28"/>
    <tableColumn id="5" xr3:uid="{DD59A07F-8949-D54D-AE99-28AE8B29247E}" name="Year" dataDxfId="27" dataCellStyle="Comma">
      <calculatedColumnFormula>YEAR(tblTrips[[#This Row],[Date]])</calculatedColumnFormula>
    </tableColumn>
    <tableColumn id="20" xr3:uid="{F47BEC0F-96F5-C54E-8889-651F1091DBEB}" name="CTripHobbs" dataDxfId="26" dataCellStyle="Comma">
      <calculatedColumnFormula>tblTrips[[#This Row],[ArrHobbs]]-tblTrips[[#This Row],[DepHobbs]]</calculatedColumnFormula>
    </tableColumn>
    <tableColumn id="6" xr3:uid="{524A8193-9F1E-D449-A653-BD0DD8580D83}" name="CTripVolFuel" dataDxfId="25" dataCellStyle="Comma">
      <calculatedColumnFormula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calculatedColumnFormula>
    </tableColumn>
    <tableColumn id="7" xr3:uid="{CA5C2C0D-6572-6148-BDE5-9084B672CAE5}" name="CHDryPrice" dataDxfId="24">
      <calculatedColumnFormula array="1">_xlfn.LET(
    _xlpm.hdry, IFERROR(
        _xlfn.XLOOKUP(1,
        (tblDryPrice[Year]= tblTrips[[#This Row],[Year]]) * (tblDryPrice[PilotType]=tblTrips[[#This Row],[PriceType]]),
        tblDryPrice[DryPrice]
        ), "error"),
    _xlpm.hdry
)</calculatedColumnFormula>
    </tableColumn>
    <tableColumn id="16" xr3:uid="{E9F3EA56-4416-AF47-9570-29223618822E}" name="CHourVCost" dataDxfId="23" dataCellStyle="Comma">
      <calculatedColumnFormula>_xlfn.LET(
    _xlpm.SumV, GETPIVOTDATA( "AmountOut", Pivots!$B$39, "CategoryGroup", "V"),
    _xlpm.SumH, GETPIVOTDATA("Sum of CTripHobbs", Pivots!$D$33),
    _xlpm.hv, IFERROR(_xlpm.SumV / _xlpm.SumH,"error"),
    _xlpm.hv
)</calculatedColumnFormula>
    </tableColumn>
    <tableColumn id="22" xr3:uid="{4BA4A456-8940-A445-BA04-80A668F39881}" name="CHFuelCostLast" dataDxfId="22" dataCellStyle="Currency">
      <calculatedColumnFormula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calculatedColumnFormula>
    </tableColumn>
    <tableColumn id="23" xr3:uid="{749B8474-8ED2-984B-9889-CA1DFD7FF6EC}" name="TripPriceLegac" dataCellStyle="Currency">
      <calculatedColumnFormula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calculatedColumnFormula>
    </tableColumn>
    <tableColumn id="24" xr3:uid="{5BC1A0D0-3B7E-F646-9324-08C508D2E8F5}" name="TripPrice2" dataDxfId="21">
      <calculatedColumnFormula xml:space="preserve"> tblTrips[[#This Row],[CTripHobbs]] *
(
    tblTrips[[#This Row],[CHDryPrice]]
  + tblTrips[[#This Row],[CHFuelCostLast]]
  + tblTrips[[#This Row],[CHourVCost]]
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39F6B6-530C-8643-AD86-37D5EB9BE7E1}" name="tblContribs" displayName="tblContribs" ref="A1:E15" totalsRowShown="0" headerRowDxfId="20" dataDxfId="19">
  <autoFilter ref="A1:E15" xr:uid="{2A4D39E8-C1CB-3B4E-B09D-91D5FF637ED0}"/>
  <tableColumns count="5">
    <tableColumn id="1" xr3:uid="{F857F430-085D-F04C-86A6-94571C79D7F1}" name="Date" dataDxfId="18"/>
    <tableColumn id="3" xr3:uid="{4FEAC678-5F66-4B43-9A67-B0D48B25CFAC}" name="Description" dataDxfId="17"/>
    <tableColumn id="9" xr3:uid="{1CEB1AFF-90C4-134F-8505-C2E806F05728}" name="FundSource" dataDxfId="16"/>
    <tableColumn id="14" xr3:uid="{C76A78F1-7B85-4E4F-AE72-D9726AFB6B8D}" name="AmountIn" dataDxfId="15" dataCellStyle="Comma"/>
    <tableColumn id="7" xr3:uid="{6296DC78-5673-8D40-ADD2-DED960C8A009}" name="Year" dataDxfId="14" dataCellStyle="Comma">
      <calculatedColumnFormula>YEAR(tblContribs[[#This Row],[Date]])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426EF3-F35D-954A-A2FD-73213F0F107A}" name="tblExpense" displayName="tblExpense" ref="D16:E39" totalsRowShown="0">
  <autoFilter ref="D16:E39" xr:uid="{C9426EF3-F35D-954A-A2FD-73213F0F107A}"/>
  <tableColumns count="2">
    <tableColumn id="1" xr3:uid="{657A04F0-3263-2446-A043-DD9B492B704E}" name="ExpenseCategory"/>
    <tableColumn id="2" xr3:uid="{C53F7217-160D-CC45-A591-905DEC736B47}" name="ExpenseDescri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DD11E9-E691-1646-BD6E-C4234254EEE8}" name="tblOwnership" displayName="tblOwnership" ref="D56:F91" totalsRowShown="0">
  <autoFilter ref="D56:F91" xr:uid="{40DD11E9-E691-1646-BD6E-C4234254EEE8}"/>
  <tableColumns count="3">
    <tableColumn id="1" xr3:uid="{8AC109C5-2193-E445-A833-EC9E128605D1}" name="PilotOwner"/>
    <tableColumn id="2" xr3:uid="{B62F30EC-86B2-F24C-B1F8-D7219CF8E461}" name="Year" dataDxfId="13"/>
    <tableColumn id="3" xr3:uid="{6A174A92-AC02-7141-BE34-E76C5436CCBD}" name="Sh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FA5778-DAE8-6F4B-97C3-7056A701F28A}" name="tblDryPrice" displayName="tblDryPrice" ref="D100:F128" totalsRowShown="0">
  <autoFilter ref="D100:F128" xr:uid="{36FA5778-DAE8-6F4B-97C3-7056A701F28A}"/>
  <tableColumns count="3">
    <tableColumn id="1" xr3:uid="{2314FF28-929D-EC49-808E-CC1B0F099943}" name="PilotType"/>
    <tableColumn id="2" xr3:uid="{D2C1A38E-1347-984A-ADB9-BD9AB40C77F7}" name="Year"/>
    <tableColumn id="3" xr3:uid="{039CDCA1-470C-7246-A910-3611EB1497E1}" name="DryPri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BE6E1F3-3D25-604E-B39C-81344B18740F}" name="tblVAT" displayName="tblVAT" ref="D3:E13" totalsRowShown="0" tableBorderDxfId="12">
  <autoFilter ref="D3:E13" xr:uid="{7BE6E1F3-3D25-604E-B39C-81344B18740F}"/>
  <tableColumns count="2">
    <tableColumn id="1" xr3:uid="{8EB43C2E-2CA3-3F49-BAD1-DF3E4E1A7377}" name="VATValues" dataDxfId="11"/>
    <tableColumn id="2" xr3:uid="{9593A2C5-53DD-4141-B991-2C504D7145FF}" name="VATName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9407-4FD7-2D4F-8D2E-CA2E8D76A5C9}">
  <dimension ref="A1:B41"/>
  <sheetViews>
    <sheetView topLeftCell="A4" zoomScale="130" zoomScaleNormal="130" workbookViewId="0">
      <selection activeCell="A42" sqref="A42"/>
    </sheetView>
  </sheetViews>
  <sheetFormatPr baseColWidth="10" defaultRowHeight="16" x14ac:dyDescent="0.2"/>
  <cols>
    <col min="1" max="1" width="97.33203125" customWidth="1"/>
  </cols>
  <sheetData>
    <row r="1" spans="1:2" ht="27" x14ac:dyDescent="0.35">
      <c r="A1" s="99" t="s">
        <v>304</v>
      </c>
    </row>
    <row r="2" spans="1:2" x14ac:dyDescent="0.2">
      <c r="A2" s="29">
        <v>46047</v>
      </c>
      <c r="B2" s="31"/>
    </row>
    <row r="3" spans="1:2" ht="17" x14ac:dyDescent="0.2">
      <c r="A3" s="92" t="s">
        <v>305</v>
      </c>
    </row>
    <row r="4" spans="1:2" x14ac:dyDescent="0.2">
      <c r="A4" t="s">
        <v>320</v>
      </c>
    </row>
    <row r="6" spans="1:2" ht="24" x14ac:dyDescent="0.3">
      <c r="A6" s="91" t="s">
        <v>293</v>
      </c>
    </row>
    <row r="7" spans="1:2" s="4" customFormat="1" x14ac:dyDescent="0.2">
      <c r="A7" s="93" t="s">
        <v>321</v>
      </c>
    </row>
    <row r="8" spans="1:2" s="4" customFormat="1" x14ac:dyDescent="0.2">
      <c r="A8" s="95" t="s">
        <v>325</v>
      </c>
    </row>
    <row r="9" spans="1:2" s="4" customFormat="1" x14ac:dyDescent="0.2">
      <c r="A9" s="95" t="s">
        <v>322</v>
      </c>
    </row>
    <row r="10" spans="1:2" s="4" customFormat="1" x14ac:dyDescent="0.2">
      <c r="A10" s="95" t="s">
        <v>294</v>
      </c>
    </row>
    <row r="11" spans="1:2" s="4" customFormat="1" x14ac:dyDescent="0.2">
      <c r="A11" s="97" t="s">
        <v>303</v>
      </c>
    </row>
    <row r="12" spans="1:2" s="4" customFormat="1" x14ac:dyDescent="0.2">
      <c r="A12" s="95" t="s">
        <v>295</v>
      </c>
    </row>
    <row r="13" spans="1:2" s="4" customFormat="1" x14ac:dyDescent="0.2"/>
    <row r="14" spans="1:2" s="4" customFormat="1" x14ac:dyDescent="0.2">
      <c r="A14" s="93" t="s">
        <v>324</v>
      </c>
    </row>
    <row r="15" spans="1:2" s="4" customFormat="1" x14ac:dyDescent="0.2">
      <c r="A15" s="95" t="s">
        <v>325</v>
      </c>
    </row>
    <row r="16" spans="1:2" s="4" customFormat="1" x14ac:dyDescent="0.2">
      <c r="A16" s="98" t="s">
        <v>326</v>
      </c>
    </row>
    <row r="17" spans="1:1" s="4" customFormat="1" x14ac:dyDescent="0.2">
      <c r="A17" s="98"/>
    </row>
    <row r="18" spans="1:1" s="4" customFormat="1" x14ac:dyDescent="0.2">
      <c r="A18" s="93" t="s">
        <v>323</v>
      </c>
    </row>
    <row r="19" spans="1:1" s="4" customFormat="1" x14ac:dyDescent="0.2">
      <c r="A19" s="95" t="s">
        <v>325</v>
      </c>
    </row>
    <row r="20" spans="1:1" s="4" customFormat="1" x14ac:dyDescent="0.2">
      <c r="A20" s="98" t="s">
        <v>327</v>
      </c>
    </row>
    <row r="21" spans="1:1" s="4" customFormat="1" x14ac:dyDescent="0.2">
      <c r="A21" s="95" t="s">
        <v>328</v>
      </c>
    </row>
    <row r="22" spans="1:1" s="4" customFormat="1" x14ac:dyDescent="0.2"/>
    <row r="23" spans="1:1" s="4" customFormat="1" x14ac:dyDescent="0.2">
      <c r="A23" s="93" t="s">
        <v>302</v>
      </c>
    </row>
    <row r="24" spans="1:1" s="4" customFormat="1" x14ac:dyDescent="0.2">
      <c r="A24" s="95" t="s">
        <v>329</v>
      </c>
    </row>
    <row r="25" spans="1:1" s="4" customFormat="1" x14ac:dyDescent="0.2">
      <c r="A25"/>
    </row>
    <row r="26" spans="1:1" ht="34" x14ac:dyDescent="0.2">
      <c r="A26" s="96" t="s">
        <v>331</v>
      </c>
    </row>
    <row r="27" spans="1:1" x14ac:dyDescent="0.2">
      <c r="A27" s="4"/>
    </row>
    <row r="28" spans="1:1" s="4" customFormat="1" ht="24" x14ac:dyDescent="0.3">
      <c r="A28" s="91" t="s">
        <v>330</v>
      </c>
    </row>
    <row r="29" spans="1:1" ht="34" x14ac:dyDescent="0.2">
      <c r="A29" s="96" t="s">
        <v>296</v>
      </c>
    </row>
    <row r="30" spans="1:1" x14ac:dyDescent="0.2">
      <c r="A30" s="4"/>
    </row>
    <row r="31" spans="1:1" x14ac:dyDescent="0.2">
      <c r="A31" s="93" t="s">
        <v>297</v>
      </c>
    </row>
    <row r="32" spans="1:1" x14ac:dyDescent="0.2">
      <c r="A32" s="95" t="s">
        <v>332</v>
      </c>
    </row>
    <row r="33" spans="1:1" x14ac:dyDescent="0.2">
      <c r="A33" s="95" t="s">
        <v>333</v>
      </c>
    </row>
    <row r="35" spans="1:1" ht="24" x14ac:dyDescent="0.3">
      <c r="A35" s="91" t="s">
        <v>298</v>
      </c>
    </row>
    <row r="36" spans="1:1" ht="17" x14ac:dyDescent="0.25">
      <c r="A36" s="90" t="s">
        <v>299</v>
      </c>
    </row>
    <row r="37" spans="1:1" x14ac:dyDescent="0.2">
      <c r="A37" t="s">
        <v>334</v>
      </c>
    </row>
    <row r="38" spans="1:1" x14ac:dyDescent="0.2">
      <c r="A38" s="93" t="s">
        <v>300</v>
      </c>
    </row>
    <row r="39" spans="1:1" x14ac:dyDescent="0.2">
      <c r="A39" s="93" t="s">
        <v>301</v>
      </c>
    </row>
    <row r="40" spans="1:1" x14ac:dyDescent="0.2">
      <c r="A40" s="4"/>
    </row>
    <row r="41" spans="1:1" x14ac:dyDescent="0.2">
      <c r="A41" s="93" t="s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F3A6-E06E-CD44-B9DD-45CD1F62F712}">
  <dimension ref="B1:Y39"/>
  <sheetViews>
    <sheetView tabSelected="1" zoomScale="120" zoomScaleNormal="120" workbookViewId="0">
      <selection activeCell="Q45" sqref="Q45"/>
    </sheetView>
  </sheetViews>
  <sheetFormatPr baseColWidth="10" defaultRowHeight="16" x14ac:dyDescent="0.2"/>
  <cols>
    <col min="1" max="1" width="4.33203125" customWidth="1"/>
    <col min="2" max="2" width="32.6640625" customWidth="1"/>
    <col min="3" max="3" width="13" bestFit="1" customWidth="1"/>
    <col min="4" max="4" width="12" bestFit="1" customWidth="1"/>
    <col min="5" max="10" width="11.83203125" bestFit="1" customWidth="1"/>
    <col min="11" max="12" width="13" customWidth="1"/>
    <col min="16" max="16" width="21.5" customWidth="1"/>
    <col min="17" max="22" width="11.83203125" bestFit="1" customWidth="1"/>
    <col min="23" max="23" width="11.6640625" bestFit="1" customWidth="1"/>
    <col min="24" max="24" width="13" bestFit="1" customWidth="1"/>
  </cols>
  <sheetData>
    <row r="1" spans="2:24" ht="29" x14ac:dyDescent="0.35">
      <c r="B1" s="33" t="s">
        <v>165</v>
      </c>
      <c r="P1" s="33" t="s">
        <v>280</v>
      </c>
    </row>
    <row r="2" spans="2:24" x14ac:dyDescent="0.2">
      <c r="P2" s="85" t="s">
        <v>284</v>
      </c>
    </row>
    <row r="3" spans="2:24" x14ac:dyDescent="0.2">
      <c r="B3" s="42" t="s">
        <v>215</v>
      </c>
      <c r="E3" s="122" t="s">
        <v>290</v>
      </c>
      <c r="F3" s="122"/>
      <c r="G3" s="122"/>
      <c r="H3" s="122"/>
      <c r="I3" s="122"/>
      <c r="J3" s="122"/>
      <c r="K3" s="122"/>
      <c r="P3" s="76" t="str" cm="1">
        <f t="array" ref="P3:W8">_xlfn.LET(
    _xlpm.data, Pivots!D65:K70,
    _xlpm.rows, ROWS(_xlpm.data),
    _xlpm.cols, COLUMNS(_xlpm.data),
    INDEX(_xlpm.data, _xlfn.SEQUENCE(_xlpm.rows), _xlfn.SEQUENCE(1, _xlpm.cols))
)</f>
        <v>Row Labels</v>
      </c>
      <c r="Q3" s="78">
        <v>2020</v>
      </c>
      <c r="R3" s="78">
        <v>2021</v>
      </c>
      <c r="S3" s="78">
        <v>2022</v>
      </c>
      <c r="T3" s="78">
        <v>2023</v>
      </c>
      <c r="U3" s="78">
        <v>2024</v>
      </c>
      <c r="V3" s="78">
        <v>2025</v>
      </c>
      <c r="W3" s="78">
        <v>2026</v>
      </c>
    </row>
    <row r="4" spans="2:24" x14ac:dyDescent="0.2">
      <c r="B4" s="24" t="s">
        <v>218</v>
      </c>
      <c r="C4" s="57" t="s">
        <v>156</v>
      </c>
      <c r="D4" s="57" t="s">
        <v>157</v>
      </c>
      <c r="E4" s="57" t="s">
        <v>158</v>
      </c>
      <c r="F4" s="57" t="s">
        <v>159</v>
      </c>
      <c r="G4" s="57" t="s">
        <v>160</v>
      </c>
      <c r="H4" s="57" t="s">
        <v>161</v>
      </c>
      <c r="I4" s="57" t="s">
        <v>162</v>
      </c>
      <c r="J4" s="57" t="s">
        <v>163</v>
      </c>
      <c r="K4" s="57" t="s">
        <v>178</v>
      </c>
      <c r="P4" s="6" t="str">
        <v>CommonPot</v>
      </c>
      <c r="Q4" s="84">
        <v>0</v>
      </c>
      <c r="R4" s="84">
        <v>0</v>
      </c>
      <c r="S4" s="84">
        <v>435.19051282109666</v>
      </c>
      <c r="T4" s="84">
        <v>0</v>
      </c>
      <c r="U4" s="84">
        <v>0</v>
      </c>
      <c r="V4" s="84">
        <v>0</v>
      </c>
      <c r="W4" s="84">
        <v>0</v>
      </c>
    </row>
    <row r="5" spans="2:24" x14ac:dyDescent="0.2">
      <c r="B5" s="6" t="s">
        <v>175</v>
      </c>
      <c r="C5" s="58">
        <v>979.9</v>
      </c>
      <c r="D5" s="58">
        <f t="shared" ref="D5" si="0">C6</f>
        <v>1065.0999999999999</v>
      </c>
      <c r="E5" s="58">
        <f t="shared" ref="E5" si="1">D6</f>
        <v>1076.5999999999999</v>
      </c>
      <c r="F5" s="58">
        <f t="shared" ref="F5" si="2">E6</f>
        <v>1109.2</v>
      </c>
      <c r="G5" s="58">
        <f t="shared" ref="G5" si="3">F6</f>
        <v>1178.5999999999999</v>
      </c>
      <c r="H5" s="58">
        <f t="shared" ref="H5" si="4">G6</f>
        <v>1294.5999999999999</v>
      </c>
      <c r="I5" s="58">
        <f t="shared" ref="I5" si="5">H6</f>
        <v>1379.6</v>
      </c>
      <c r="J5" s="58">
        <f t="shared" ref="J5" si="6">I6</f>
        <v>1459.3</v>
      </c>
      <c r="K5" s="58">
        <f t="shared" ref="K5" si="7">J6</f>
        <v>1530.8</v>
      </c>
      <c r="P5" s="6" t="str">
        <v>Dominique</v>
      </c>
      <c r="Q5" s="3">
        <v>0</v>
      </c>
      <c r="R5" s="3">
        <v>0</v>
      </c>
      <c r="S5" s="3">
        <v>0</v>
      </c>
      <c r="T5" s="3">
        <v>4154.8125301207201</v>
      </c>
      <c r="U5" s="3">
        <v>0</v>
      </c>
      <c r="V5" s="3">
        <v>0</v>
      </c>
      <c r="W5" s="79">
        <v>0</v>
      </c>
    </row>
    <row r="6" spans="2:24" x14ac:dyDescent="0.2">
      <c r="B6" s="80" t="s">
        <v>288</v>
      </c>
      <c r="C6" s="59">
        <v>1065.0999999999999</v>
      </c>
      <c r="D6" s="59">
        <v>1076.5999999999999</v>
      </c>
      <c r="E6" s="59">
        <v>1109.2</v>
      </c>
      <c r="F6" s="59">
        <v>1178.5999999999999</v>
      </c>
      <c r="G6" s="59">
        <v>1294.5999999999999</v>
      </c>
      <c r="H6" s="59">
        <v>1379.6</v>
      </c>
      <c r="I6" s="59">
        <v>1459.3</v>
      </c>
      <c r="J6" s="59">
        <v>1530.8</v>
      </c>
      <c r="K6" s="59">
        <v>1530.81</v>
      </c>
      <c r="P6" s="6" t="str">
        <v>Guy</v>
      </c>
      <c r="Q6" s="3">
        <v>1041.3592547143326</v>
      </c>
      <c r="R6" s="3">
        <v>0</v>
      </c>
      <c r="S6" s="3">
        <v>13614.905897435196</v>
      </c>
      <c r="T6" s="3">
        <v>0</v>
      </c>
      <c r="U6" s="3">
        <v>0</v>
      </c>
      <c r="V6" s="3">
        <v>0</v>
      </c>
      <c r="W6" s="79">
        <v>0</v>
      </c>
    </row>
    <row r="7" spans="2:24" x14ac:dyDescent="0.2">
      <c r="B7" s="6" t="s">
        <v>166</v>
      </c>
      <c r="C7" s="56">
        <f t="shared" ref="C7:D7" si="8">C6-C5</f>
        <v>85.199999999999932</v>
      </c>
      <c r="D7" s="56">
        <f t="shared" si="8"/>
        <v>11.5</v>
      </c>
      <c r="E7" s="56">
        <f>GETPIVOTDATA("Sum of CTripHobbs",Pivots!$D$33,"Year",Pivots!E34)</f>
        <v>2.8000000000001819</v>
      </c>
      <c r="F7" s="56">
        <f>GETPIVOTDATA("Sum of CTripHobbs",Pivots!$D$33,"Year",Pivots!F34)</f>
        <v>2.7000000000000455</v>
      </c>
      <c r="G7" s="56">
        <f>GETPIVOTDATA("Sum of CTripHobbs",Pivots!$D$33,"Year",Pivots!G34)</f>
        <v>3.9000000000000909</v>
      </c>
      <c r="H7" s="56">
        <f>GETPIVOTDATA("Sum of CTripHobbs",Pivots!$D$33,"Year",Pivots!H34)</f>
        <v>8.2999999999999545</v>
      </c>
      <c r="I7" s="56">
        <f>GETPIVOTDATA("Sum of CTripHobbs",Pivots!$D$33,"Year",Pivots!I34)</f>
        <v>3.8000000000001819</v>
      </c>
      <c r="J7" s="56">
        <f>GETPIVOTDATA("Sum of CTripHobbs",Pivots!$D$33,"Year",Pivots!J34)</f>
        <v>4.4999999999997726</v>
      </c>
      <c r="K7" s="56">
        <f>GETPIVOTDATA("Sum of CTripHobbs",Pivots!$D$33,"Year",Pivots!K34)</f>
        <v>9.9999999999909051E-3</v>
      </c>
      <c r="P7" s="6" t="str">
        <v>Jacques</v>
      </c>
      <c r="Q7" s="3">
        <v>0</v>
      </c>
      <c r="R7" s="3">
        <v>0</v>
      </c>
      <c r="S7" s="3">
        <v>0</v>
      </c>
      <c r="T7" s="3">
        <v>0</v>
      </c>
      <c r="U7" s="3">
        <v>4756.0482157893912</v>
      </c>
      <c r="V7" s="3">
        <v>0</v>
      </c>
      <c r="W7" s="79">
        <v>0</v>
      </c>
    </row>
    <row r="8" spans="2:24" x14ac:dyDescent="0.2">
      <c r="B8" s="6"/>
      <c r="P8" s="6" t="str">
        <v>Vu Tien</v>
      </c>
      <c r="Q8" s="3">
        <v>2198.4250932856962</v>
      </c>
      <c r="R8" s="3">
        <v>7264.690000000006</v>
      </c>
      <c r="S8" s="3">
        <v>3046.3335897437191</v>
      </c>
      <c r="T8" s="3">
        <v>7854.6274698793095</v>
      </c>
      <c r="U8" s="3">
        <v>5413.1183842106193</v>
      </c>
      <c r="V8" s="3">
        <v>8818.2779999999984</v>
      </c>
      <c r="W8" s="79">
        <v>0.93016216839592591</v>
      </c>
    </row>
    <row r="9" spans="2:24" x14ac:dyDescent="0.2">
      <c r="B9" s="6"/>
      <c r="Q9" s="25"/>
      <c r="R9" s="25"/>
      <c r="S9" s="25"/>
      <c r="T9" s="25"/>
      <c r="U9" s="25"/>
      <c r="V9" s="25"/>
      <c r="W9" s="77"/>
    </row>
    <row r="10" spans="2:24" x14ac:dyDescent="0.2">
      <c r="B10" s="6"/>
      <c r="P10" s="85" t="s">
        <v>285</v>
      </c>
    </row>
    <row r="11" spans="2:24" x14ac:dyDescent="0.2">
      <c r="B11" s="6"/>
      <c r="Q11" s="75" cm="1">
        <f t="array" ref="Q11:W11">_xlfn.LET(_xlpm.pivotYears, Pivots!$C$40:$K$40, _xlfn._xlws.FILTER(_xlpm.pivotYears, _xlpm.pivotYears &gt;= 2020))</f>
        <v>2020</v>
      </c>
      <c r="R11" s="75">
        <v>2021</v>
      </c>
      <c r="S11" s="75">
        <v>2022</v>
      </c>
      <c r="T11" s="75">
        <v>2023</v>
      </c>
      <c r="U11" s="75">
        <v>2024</v>
      </c>
      <c r="V11" s="75">
        <v>2025</v>
      </c>
      <c r="W11" s="75">
        <v>2026</v>
      </c>
    </row>
    <row r="12" spans="2:24" x14ac:dyDescent="0.2">
      <c r="P12" s="6" t="str" cm="1">
        <f t="array" ref="P12:P16">_xlfn._xlws.SORT(_xlfn.UNIQUE(tblOwnership[PilotOwner]))</f>
        <v>CommonPot</v>
      </c>
      <c r="Q12" s="100" cm="1">
        <f t="array" ref="Q12:W16">_xlfn.LET(
    _xlpm.pilots,_xlfn.ANCHORARRAY( P12),
    _xlpm.years,_xlfn.ANCHORARRAY( Q11),
    _xlfn.MAKEARRAY(ROWS(_xlpm.pilots), COLUMNS(_xlpm.years), _xlfn.LAMBDA(_xlpm.r,_xlpm.c,
        _xlfn.LET(
            _xlpm.p, INDEX(_xlpm.pilots, _xlpm.r),
            _xlpm.y, INDEX(_xlpm.years, _xlpm.c),
            _xlpm.share, _xlfn.XLOOKUP(1, (tblOwnership[PilotOwner]=_xlpm.p)*(tblOwnership[Year]=_xlpm.y), tblOwnership[Share], 0),
            _xlpm.totalExp, IFERROR(GETPIVOTDATA("Sum of AmountOut", Pivots!$B$39, "Year", _xlpm.y), 0),
            _xlpm.share * _xlpm.totalExp
        )
    ))
)</f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</row>
    <row r="13" spans="2:24" x14ac:dyDescent="0.2">
      <c r="B13" s="43"/>
      <c r="C13" s="87" t="s">
        <v>127</v>
      </c>
      <c r="D13" s="27" cm="1">
        <f t="array" ref="D13:L13">_xlfn.LET(_xlpm.pivotYears, Pivots!$C$40:$K$40, _xlfn._xlws.FILTER(_xlpm.pivotYears, _xlpm.pivotYears &gt;= 2018))</f>
        <v>2018</v>
      </c>
      <c r="E13" s="27">
        <v>2019</v>
      </c>
      <c r="F13" s="27">
        <v>2020</v>
      </c>
      <c r="G13" s="27">
        <v>2021</v>
      </c>
      <c r="H13" s="27">
        <v>2022</v>
      </c>
      <c r="I13" s="27">
        <v>2023</v>
      </c>
      <c r="J13" s="27">
        <v>2024</v>
      </c>
      <c r="K13" s="27">
        <v>2025</v>
      </c>
      <c r="L13" s="27">
        <v>2026</v>
      </c>
      <c r="P13" t="str">
        <v>Dominique</v>
      </c>
      <c r="Q13" s="76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/>
    </row>
    <row r="14" spans="2:24" x14ac:dyDescent="0.2">
      <c r="B14" s="6" t="s">
        <v>167</v>
      </c>
      <c r="C14" s="88">
        <f>SUM(D14:L14)</f>
        <v>45261.594848000001</v>
      </c>
      <c r="D14" s="3">
        <f>GETPIVOTDATA("AmountOut",Pivots!$B$39,"Year",Pivots!C$40)+D19</f>
        <v>5781.5249000000003</v>
      </c>
      <c r="E14" s="3">
        <f>(GETPIVOTDATA("AmountOut",Pivots!$B$39,"Year",Pivots!D$40)+GETPIVOTDATA("Sum of TTCAmount",Pivots!$C$26,"Year",Pivots!D$27))</f>
        <v>-23356.870000000003</v>
      </c>
      <c r="F14" s="3">
        <f>(GETPIVOTDATA("AmountOut",Pivots!$B$39,"Year",Pivots!E$40)+GETPIVOTDATA("Sum of TTCAmount",Pivots!$C$26,"Year",Pivots!E$27))</f>
        <v>3338.216848</v>
      </c>
      <c r="G14" s="3">
        <f>(GETPIVOTDATA("AmountOut",Pivots!$B$39,"Year",Pivots!F$40)+GETPIVOTDATA("Sum of TTCAmount",Pivots!$C$26,"Year",Pivots!F$27))</f>
        <v>7011.0604000000003</v>
      </c>
      <c r="H14" s="3">
        <f>(GETPIVOTDATA("AmountOut",Pivots!$B$39,"Year",Pivots!G$40)+GETPIVOTDATA("Sum of TTCAmount",Pivots!$C$26,"Year",Pivots!G$27))</f>
        <v>18705.13</v>
      </c>
      <c r="I14" s="3">
        <f>(GETPIVOTDATA("AmountOut",Pivots!$B$39,"Year",Pivots!H$40)+GETPIVOTDATA("Sum of TTCAmount",Pivots!$C$26,"Year",Pivots!H$27))</f>
        <v>10820.7266</v>
      </c>
      <c r="J14" s="3">
        <f>(GETPIVOTDATA("AmountOut",Pivots!$B$39,"Year",Pivots!I$40)+GETPIVOTDATA("Sum of TTCAmount",Pivots!$C$26,"Year",Pivots!I$27))</f>
        <v>12154.650900000001</v>
      </c>
      <c r="K14" s="3">
        <f>(GETPIVOTDATA("AmountOut",Pivots!$B$39,"Year",Pivots!J$40)+GETPIVOTDATA("Sum of TTCAmount",Pivots!$C$26,"Year",Pivots!J$27))</f>
        <v>10059.745199999998</v>
      </c>
      <c r="L14" s="3">
        <f>(GETPIVOTDATA("AmountOut",Pivots!$B$39,"Year",Pivots!K$40)+GETPIVOTDATA("Sum of TTCAmount",Pivots!$C$26,"Year",Pivots!K$27))</f>
        <v>747.41</v>
      </c>
      <c r="P14" t="str">
        <v>Guy</v>
      </c>
      <c r="Q14" s="76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/>
    </row>
    <row r="15" spans="2:24" x14ac:dyDescent="0.2">
      <c r="B15" s="6" t="s">
        <v>151</v>
      </c>
      <c r="C15" s="88">
        <f t="shared" ref="C15:C20" si="9">SUM(D15:L15)</f>
        <v>2701.5003000000002</v>
      </c>
      <c r="D15" s="3">
        <f>GETPIVOTDATA("AmountOut",Pivots!$B$39,"Year",Pivots!C$40,"CategoryGroup","F")</f>
        <v>139.19489999999999</v>
      </c>
      <c r="E15" s="3">
        <f>GETPIVOTDATA("AmountOut",Pivots!$B$39,"Year",Pivots!D$40,"CategoryGroup","F")</f>
        <v>159.12</v>
      </c>
      <c r="F15" s="3">
        <f>GETPIVOTDATA("AmountOut",Pivots!$B$39,"Year",Pivots!E$40,"CategoryGroup","F")</f>
        <v>540.83249999999998</v>
      </c>
      <c r="G15" s="3">
        <f>GETPIVOTDATA("AmountOut",Pivots!$B$39,"Year",Pivots!F$40,"CategoryGroup","F")</f>
        <v>172.97039999999998</v>
      </c>
      <c r="H15" s="3">
        <f>GETPIVOTDATA("AmountOut",Pivots!$B$39,"Year",Pivots!G$40,"CategoryGroup","F")</f>
        <v>651.37</v>
      </c>
      <c r="I15" s="3">
        <f>GETPIVOTDATA("AmountOut",Pivots!$B$39,"Year",Pivots!H$40,"CategoryGroup","F")</f>
        <v>-1737.2</v>
      </c>
      <c r="J15" s="3">
        <f>GETPIVOTDATA("AmountOut",Pivots!$B$39,"Year",Pivots!I$40,"CategoryGroup","F")</f>
        <v>933.9525000000001</v>
      </c>
      <c r="K15" s="3">
        <f>GETPIVOTDATA("AmountOut",Pivots!$B$39,"Year",Pivots!J$40,"CategoryGroup","F")</f>
        <v>1093.8600000000001</v>
      </c>
      <c r="L15" s="3">
        <f>GETPIVOTDATA("AmountOut",Pivots!$B$39,"Year",Pivots!K$40,"CategoryGroup","F")</f>
        <v>747.4</v>
      </c>
      <c r="P15" t="str">
        <v>Jacques</v>
      </c>
      <c r="Q15" s="76">
        <v>180.27749999999997</v>
      </c>
      <c r="R15" s="3">
        <v>57.65679999999999</v>
      </c>
      <c r="S15" s="3">
        <v>782.9666666666667</v>
      </c>
      <c r="T15" s="3">
        <v>-123.34268000000003</v>
      </c>
      <c r="U15" s="3">
        <v>471.89686000000006</v>
      </c>
      <c r="V15" s="3">
        <v>0</v>
      </c>
      <c r="W15" s="3">
        <v>0</v>
      </c>
      <c r="X15" s="3"/>
    </row>
    <row r="16" spans="2:24" x14ac:dyDescent="0.2">
      <c r="B16" s="6" t="s">
        <v>206</v>
      </c>
      <c r="C16" s="88">
        <f t="shared" si="9"/>
        <v>64674.690748000001</v>
      </c>
      <c r="D16" s="3">
        <f>GETPIVOTDATA("AmountOut",Pivots!$B$39,"Year",Pivots!C$40,"CategoryGroup","V")+D19</f>
        <v>5642.3300000000008</v>
      </c>
      <c r="E16" s="3">
        <f>GETPIVOTDATA("AmountOut",Pivots!$B$39,"Year",Pivots!D$40,"CategoryGroup","V")+GETPIVOTDATA("Sum of TTCAmount",Pivots!$C$26,"Year",Pivots!D$27)</f>
        <v>706.52</v>
      </c>
      <c r="F16" s="3">
        <f>GETPIVOTDATA("AmountOut",Pivots!$B$39,"Year",Pivots!E$40,"CategoryGroup","V")+GETPIVOTDATA("Sum of TTCAmount",Pivots!$C$26,"Year",Pivots!E$27)</f>
        <v>2797.384348</v>
      </c>
      <c r="G16" s="3">
        <f>GETPIVOTDATA("AmountOut",Pivots!$B$39,"Year",Pivots!F$40,"CategoryGroup","V")+GETPIVOTDATA("Sum of TTCAmount",Pivots!$C$26,"Year",Pivots!F$27)</f>
        <v>6838.09</v>
      </c>
      <c r="H16" s="3">
        <f>GETPIVOTDATA("AmountOut",Pivots!$B$39,"Year",Pivots!G$40,"CategoryGroup","V")+GETPIVOTDATA("Sum of TTCAmount",Pivots!$C$26,"Year",Pivots!G$27)</f>
        <v>17910.96</v>
      </c>
      <c r="I16" s="3">
        <f>GETPIVOTDATA("AmountOut",Pivots!$B$39,"Year",Pivots!H$40,"CategoryGroup","V")+GETPIVOTDATA("Sum of TTCAmount",Pivots!$C$26,"Year",Pivots!H$27)</f>
        <v>11583.99</v>
      </c>
      <c r="J16" s="3">
        <f>GETPIVOTDATA("AmountOut",Pivots!$B$39,"Year",Pivots!I$40,"CategoryGroup","V")+GETPIVOTDATA("Sum of TTCAmount",Pivots!$C$26,"Year",Pivots!I$27)</f>
        <v>10377.128400000001</v>
      </c>
      <c r="K16" s="3">
        <f>GETPIVOTDATA("AmountOut",Pivots!$B$39,"Year",Pivots!J$40,"CategoryGroup","V")+GETPIVOTDATA("Sum of TTCAmount",Pivots!$C$26,"Year",Pivots!J$27)</f>
        <v>8818.2779999999984</v>
      </c>
      <c r="L16" s="3">
        <f>GETPIVOTDATA("AmountOut",Pivots!$B$39,"Year",Pivots!K$40,"CategoryGroup","V")+GETPIVOTDATA("Sum of TTCAmount",Pivots!$C$26,"Year",Pivots!K$27)</f>
        <v>0.01</v>
      </c>
      <c r="P16" s="28" t="str">
        <v>Vu Tien</v>
      </c>
      <c r="Q16" s="76">
        <v>360.55499999999995</v>
      </c>
      <c r="R16" s="3">
        <v>115.31359999999998</v>
      </c>
      <c r="S16" s="3">
        <v>1565.9333333333334</v>
      </c>
      <c r="T16" s="3">
        <v>-493.37072000000012</v>
      </c>
      <c r="U16" s="3">
        <v>1887.5874400000002</v>
      </c>
      <c r="V16" s="3">
        <v>1241.4672</v>
      </c>
      <c r="W16" s="3">
        <v>747.4</v>
      </c>
      <c r="X16" s="3"/>
    </row>
    <row r="17" spans="2:25" x14ac:dyDescent="0.2">
      <c r="B17" s="6" t="s">
        <v>152</v>
      </c>
      <c r="C17" s="88">
        <f t="shared" si="9"/>
        <v>-22114.596200000004</v>
      </c>
      <c r="D17" s="3">
        <f>GETPIVOTDATA("AmountOut",Pivots!$B$39,"Year",Pivots!C$40,"CategoryGroup","X")</f>
        <v>0</v>
      </c>
      <c r="E17" s="3">
        <f>GETPIVOTDATA("AmountOut",Pivots!$B$39,"Year",Pivots!D$40,"CategoryGroup","X")</f>
        <v>-24222.510000000002</v>
      </c>
      <c r="F17" s="3">
        <f>GETPIVOTDATA("AmountOut",Pivots!$B$39,"Year",Pivots!E$40,"CategoryGroup","X")</f>
        <v>0</v>
      </c>
      <c r="G17" s="3">
        <f>GETPIVOTDATA("AmountOut",Pivots!$B$39,"Year",Pivots!F$40,"CategoryGroup","X")</f>
        <v>0</v>
      </c>
      <c r="H17" s="3">
        <f>GETPIVOTDATA("AmountOut",Pivots!$B$39,"Year",Pivots!G$40,"CategoryGroup","X")</f>
        <v>142.80000000000001</v>
      </c>
      <c r="I17" s="3">
        <f>GETPIVOTDATA("AmountOut",Pivots!$B$39,"Year",Pivots!H$40,"CategoryGroup","X")</f>
        <v>973.9366</v>
      </c>
      <c r="J17" s="3">
        <f>GETPIVOTDATA("AmountOut",Pivots!$B$39,"Year",Pivots!I$40,"CategoryGroup","X")</f>
        <v>843.57</v>
      </c>
      <c r="K17" s="3">
        <f>GETPIVOTDATA("AmountOut",Pivots!$B$39,"Year",Pivots!J$40,"CategoryGroup","X")</f>
        <v>147.60720000000001</v>
      </c>
      <c r="L17" s="3">
        <f>GETPIVOTDATA("AmountOut",Pivots!$B$39,"Year",Pivots!K$40,"CategoryGroup","X")</f>
        <v>0</v>
      </c>
    </row>
    <row r="18" spans="2:25" x14ac:dyDescent="0.2">
      <c r="B18" s="6" t="s">
        <v>168</v>
      </c>
      <c r="C18" s="88">
        <f t="shared" si="9"/>
        <v>2393.3418000000001</v>
      </c>
      <c r="D18" s="3">
        <f>GETPIVOTDATA("AmountOut",Pivots!$B$39,"Year",Pivots!C$40,"CategoryGroup","V")</f>
        <v>110.1</v>
      </c>
      <c r="E18" s="3">
        <f>GETPIVOTDATA("AmountOut",Pivots!$B$39,"Year",Pivots!D$40,"CategoryGroup","V")</f>
        <v>0</v>
      </c>
      <c r="F18" s="3">
        <f>GETPIVOTDATA("AmountOut",Pivots!$B$39,"Year",Pivots!E$40,"CategoryGroup","V")</f>
        <v>0</v>
      </c>
      <c r="G18" s="3">
        <f>GETPIVOTDATA("AmountOut",Pivots!$B$39,"Year",Pivots!F$40,"CategoryGroup","V")</f>
        <v>0</v>
      </c>
      <c r="H18" s="3">
        <f>GETPIVOTDATA("AmountOut",Pivots!$B$39,"Year",Pivots!G$40,"CategoryGroup","V")</f>
        <v>1554.73</v>
      </c>
      <c r="I18" s="3">
        <f>GETPIVOTDATA("AmountOut",Pivots!$B$39,"Year",Pivots!H$40,"CategoryGroup","V")</f>
        <v>146.55000000000001</v>
      </c>
      <c r="J18" s="3">
        <f>GETPIVOTDATA("AmountOut",Pivots!$B$39,"Year",Pivots!I$40,"CategoryGroup","V")</f>
        <v>581.96180000000004</v>
      </c>
      <c r="K18" s="3">
        <f>GETPIVOTDATA("AmountOut",Pivots!$B$39,"Year",Pivots!J$40,"CategoryGroup","V")</f>
        <v>0</v>
      </c>
      <c r="L18" s="3">
        <f>GETPIVOTDATA("AmountOut",Pivots!$B$39,"Year",Pivots!K$40,"CategoryGroup","V")</f>
        <v>0</v>
      </c>
      <c r="P18" s="85" t="s">
        <v>286</v>
      </c>
    </row>
    <row r="19" spans="2:25" x14ac:dyDescent="0.2">
      <c r="B19" s="6" t="s">
        <v>153</v>
      </c>
      <c r="C19" s="88">
        <f t="shared" si="9"/>
        <v>62281.348947999999</v>
      </c>
      <c r="D19" s="3">
        <f>1077.38+4454.85</f>
        <v>5532.2300000000005</v>
      </c>
      <c r="E19" s="3">
        <f>GETPIVOTDATA("Sum of TTCAmount",Pivots!$C$26,"Year",Pivots!D$27)</f>
        <v>706.52</v>
      </c>
      <c r="F19" s="3">
        <f>GETPIVOTDATA("Sum of TTCAmount",Pivots!$C$26,"Year",Pivots!E$27)</f>
        <v>2797.384348</v>
      </c>
      <c r="G19" s="3">
        <f>GETPIVOTDATA("Sum of TTCAmount",Pivots!$C$26,"Year",Pivots!F$27)</f>
        <v>6838.09</v>
      </c>
      <c r="H19" s="3">
        <f>GETPIVOTDATA("Sum of TTCAmount",Pivots!$C$26,"Year",Pivots!G$27)</f>
        <v>16356.23</v>
      </c>
      <c r="I19" s="3">
        <f>GETPIVOTDATA("Sum of TTCAmount",Pivots!$C$26,"Year",Pivots!H$27)</f>
        <v>11437.44</v>
      </c>
      <c r="J19" s="3">
        <f>GETPIVOTDATA("Sum of TTCAmount",Pivots!$C$26,"Year",Pivots!I$27)</f>
        <v>9795.1666000000005</v>
      </c>
      <c r="K19" s="3">
        <f>GETPIVOTDATA("Sum of TTCAmount",Pivots!$C$26,"Year",Pivots!J$27)</f>
        <v>8818.2779999999984</v>
      </c>
      <c r="L19" s="3">
        <f>GETPIVOTDATA("Sum of TTCAmount",Pivots!$C$26,"Year",Pivots!K$27)</f>
        <v>0.01</v>
      </c>
      <c r="P19" s="76" t="str" cm="1">
        <f t="array" ref="P19:W24">_xlfn.LET(
    _xlpm.data, Pivots!D49:K54,
    _xlpm.rows, ROWS(_xlpm.data),
    _xlpm.cols, COLUMNS(_xlpm.data),
    INDEX(_xlpm.data, _xlfn.SEQUENCE(_xlpm.rows), _xlfn.SEQUENCE(1, _xlpm.cols))
)</f>
        <v>Row Labels</v>
      </c>
      <c r="Q19" s="78">
        <v>2020</v>
      </c>
      <c r="R19" s="78">
        <v>2021</v>
      </c>
      <c r="S19" s="78">
        <v>2022</v>
      </c>
      <c r="T19" s="78">
        <v>2023</v>
      </c>
      <c r="U19" s="78">
        <v>2024</v>
      </c>
      <c r="V19" s="78">
        <v>2025</v>
      </c>
      <c r="W19" s="78">
        <v>2026</v>
      </c>
    </row>
    <row r="20" spans="2:25" x14ac:dyDescent="0.2">
      <c r="B20" s="6" t="s">
        <v>154</v>
      </c>
      <c r="C20" s="89">
        <f t="shared" si="9"/>
        <v>27439.1837037037</v>
      </c>
      <c r="D20" s="25">
        <f>571.93+1830.35</f>
        <v>2402.2799999999997</v>
      </c>
      <c r="E20" s="25">
        <f>GETPIVOTDATA("Sum of volAVGAS_L",Pivots!$C$26,"Year",Pivots!D$27)</f>
        <v>393.61999999999995</v>
      </c>
      <c r="F20" s="25">
        <f>GETPIVOTDATA("Sum of volAVGAS_L",Pivots!$C$26,"Year",Pivots!E$27)</f>
        <v>1802.6200000000001</v>
      </c>
      <c r="G20" s="25">
        <f>GETPIVOTDATA("Sum of volAVGAS_L",Pivots!$C$26,"Year",Pivots!F$27)</f>
        <v>3728.39</v>
      </c>
      <c r="H20" s="25">
        <f>GETPIVOTDATA("Sum of volAVGAS_L",Pivots!$C$26,"Year",Pivots!G$27)</f>
        <v>6290.8499999999976</v>
      </c>
      <c r="I20" s="25">
        <f>GETPIVOTDATA("Sum of volAVGAS_L",Pivots!$C$26,"Year",Pivots!H$27)</f>
        <v>4640.0499999999993</v>
      </c>
      <c r="J20" s="25">
        <f>GETPIVOTDATA("Sum of volAVGAS_L",Pivots!$C$26,"Year",Pivots!I$27)</f>
        <v>4160.16</v>
      </c>
      <c r="K20" s="25">
        <f>GETPIVOTDATA("Sum of volAVGAS_L",Pivots!$C$26,"Year",Pivots!J$27)</f>
        <v>4021.2100000000005</v>
      </c>
      <c r="L20" s="25">
        <f>GETPIVOTDATA("Sum of volAVGAS_L",Pivots!$C$26,"Year",Pivots!K$27)</f>
        <v>3.7037037037037034E-3</v>
      </c>
      <c r="P20" s="6" t="str">
        <v>Dominique</v>
      </c>
      <c r="Q20" s="84">
        <v>0</v>
      </c>
      <c r="R20" s="84">
        <v>2600</v>
      </c>
      <c r="S20" s="84">
        <v>4736.17</v>
      </c>
      <c r="T20" s="84">
        <v>3740.54</v>
      </c>
      <c r="U20" s="84">
        <v>0</v>
      </c>
      <c r="V20" s="84">
        <v>0</v>
      </c>
      <c r="W20" s="84">
        <v>0</v>
      </c>
    </row>
    <row r="21" spans="2:25" x14ac:dyDescent="0.2">
      <c r="B21" s="6" t="s">
        <v>155</v>
      </c>
      <c r="C21" s="6"/>
      <c r="D21" s="3">
        <f>D19/D20</f>
        <v>2.3029080706662008</v>
      </c>
      <c r="E21" s="3">
        <f>E19/E20</f>
        <v>1.7949291194553125</v>
      </c>
      <c r="F21" s="3">
        <f t="shared" ref="F21:L21" si="10">F19/F20</f>
        <v>1.5518436209517257</v>
      </c>
      <c r="G21" s="3">
        <f t="shared" si="10"/>
        <v>1.834059741604285</v>
      </c>
      <c r="H21" s="3">
        <f t="shared" si="10"/>
        <v>2.6000031792206149</v>
      </c>
      <c r="I21" s="3">
        <f t="shared" si="10"/>
        <v>2.4649389553991878</v>
      </c>
      <c r="J21" s="3">
        <f t="shared" si="10"/>
        <v>2.3545167974308683</v>
      </c>
      <c r="K21" s="3">
        <f t="shared" si="10"/>
        <v>2.1929414280776176</v>
      </c>
      <c r="L21" s="3">
        <f t="shared" si="10"/>
        <v>2.7</v>
      </c>
      <c r="P21" s="6" t="str">
        <v>Guy</v>
      </c>
      <c r="Q21" s="3">
        <v>3000</v>
      </c>
      <c r="R21" s="3">
        <v>6071.6</v>
      </c>
      <c r="S21" s="3">
        <v>6500</v>
      </c>
      <c r="T21" s="3">
        <v>3918.8200000000006</v>
      </c>
      <c r="U21" s="3">
        <v>2786.6800000000003</v>
      </c>
      <c r="V21" s="3">
        <v>2920</v>
      </c>
      <c r="W21" s="3">
        <v>0</v>
      </c>
    </row>
    <row r="22" spans="2:25" x14ac:dyDescent="0.2">
      <c r="B22" s="6" t="s">
        <v>212</v>
      </c>
      <c r="C22" s="6"/>
      <c r="D22" s="26">
        <f>D16/D14</f>
        <v>0.97592418913563794</v>
      </c>
      <c r="E22" s="26">
        <f>((GETPIVOTDATA("AmountOut",Pivots!$B$39,"Year",Pivots!D$40,"CategoryGroup","V")+GETPIVOTDATA("Sum of TTCAmount",Pivots!$C$26,"Year",Pivots!D$27))/(GETPIVOTDATA("AmountOut",Pivots!$B$39,"Year",Pivots!D$40)+GETPIVOTDATA("Sum of TTCAmount",Pivots!$C$26,"Year",Pivots!D$27)))</f>
        <v>-3.0248916057673818E-2</v>
      </c>
      <c r="F22" s="26">
        <f>((GETPIVOTDATA("AmountOut",Pivots!$B$39,"Year",Pivots!E$40,"CategoryGroup","V")+GETPIVOTDATA("Sum of TTCAmount",Pivots!$C$26,"Year",Pivots!E$27))/(GETPIVOTDATA("AmountOut",Pivots!$B$39,"Year",Pivots!E$40)+GETPIVOTDATA("Sum of TTCAmount",Pivots!$C$26,"Year",Pivots!E$27)))</f>
        <v>0.83798760696926422</v>
      </c>
      <c r="G22" s="26">
        <f>((GETPIVOTDATA("AmountOut",Pivots!$B$39,"Year",Pivots!F$40,"CategoryGroup","V")+GETPIVOTDATA("Sum of TTCAmount",Pivots!$C$26,"Year",Pivots!F$27))/(GETPIVOTDATA("AmountOut",Pivots!$B$39,"Year",Pivots!F$40)+GETPIVOTDATA("Sum of TTCAmount",Pivots!$C$26,"Year",Pivots!F$27)))</f>
        <v>0.97532892456610409</v>
      </c>
      <c r="H22" s="26">
        <f>((GETPIVOTDATA("AmountOut",Pivots!$B$39,"Year",Pivots!G$40,"CategoryGroup","V")+GETPIVOTDATA("Sum of TTCAmount",Pivots!$C$26,"Year",Pivots!G$27))/(GETPIVOTDATA("AmountOut",Pivots!$B$39,"Year",Pivots!G$40)+GETPIVOTDATA("Sum of TTCAmount",Pivots!$C$26,"Year",Pivots!G$27)))</f>
        <v>0.95754266342976491</v>
      </c>
      <c r="I22" s="26">
        <f>((GETPIVOTDATA("AmountOut",Pivots!$B$39,"Year",Pivots!H$40,"CategoryGroup","V")+GETPIVOTDATA("Sum of TTCAmount",Pivots!$C$26,"Year",Pivots!H$27))/(GETPIVOTDATA("AmountOut",Pivots!$B$39,"Year",Pivots!H$40)+GETPIVOTDATA("Sum of TTCAmount",Pivots!$C$26,"Year",Pivots!H$27)))</f>
        <v>1.0705371670697235</v>
      </c>
      <c r="J22" s="26">
        <f>((GETPIVOTDATA("AmountOut",Pivots!$B$39,"Year",Pivots!I$40,"CategoryGroup","V")+GETPIVOTDATA("Sum of TTCAmount",Pivots!$C$26,"Year",Pivots!I$27))/(GETPIVOTDATA("AmountOut",Pivots!$B$39,"Year",Pivots!I$40)+GETPIVOTDATA("Sum of TTCAmount",Pivots!$C$26,"Year",Pivots!I$27)))</f>
        <v>0.85375783190942989</v>
      </c>
      <c r="K22" s="26">
        <f>((GETPIVOTDATA("AmountOut",Pivots!$B$39,"Year",Pivots!J$40,"CategoryGroup","V")+GETPIVOTDATA("Sum of TTCAmount",Pivots!$C$26,"Year",Pivots!J$27))/(GETPIVOTDATA("AmountOut",Pivots!$B$39,"Year",Pivots!J$40)+GETPIVOTDATA("Sum of TTCAmount",Pivots!$C$26,"Year",Pivots!J$27)))</f>
        <v>0.87659059197642508</v>
      </c>
      <c r="L22" s="26">
        <f>((GETPIVOTDATA("AmountOut",Pivots!$B$39,"Year",Pivots!K$40,"CategoryGroup","V")+GETPIVOTDATA("Sum of TTCAmount",Pivots!$C$26,"Year",Pivots!K$27))/(GETPIVOTDATA("AmountOut",Pivots!$B$39,"Year",Pivots!K$40)+GETPIVOTDATA("Sum of TTCAmount",Pivots!$C$26,"Year",Pivots!K$27)))</f>
        <v>1.3379537335598935E-5</v>
      </c>
      <c r="P22" s="6" t="str">
        <v>Jacques</v>
      </c>
      <c r="Q22" s="3">
        <v>5000</v>
      </c>
      <c r="R22" s="3">
        <v>3806.04</v>
      </c>
      <c r="S22" s="3">
        <v>20618.09</v>
      </c>
      <c r="T22" s="3">
        <v>12432.27</v>
      </c>
      <c r="U22" s="3">
        <v>23971.75</v>
      </c>
      <c r="V22" s="3">
        <v>-1337</v>
      </c>
      <c r="W22" s="3">
        <v>0</v>
      </c>
      <c r="X22" s="3"/>
    </row>
    <row r="23" spans="2:25" x14ac:dyDescent="0.2">
      <c r="B23" s="6" t="s">
        <v>213</v>
      </c>
      <c r="C23" s="6"/>
      <c r="D23" s="26">
        <f>D15/D14</f>
        <v>2.4075810864362095E-2</v>
      </c>
      <c r="E23" s="26">
        <f>GETPIVOTDATA("AmountOut",Pivots!$B$39,"Year",Pivots!D$40,"CategoryGroup","F")/(GETPIVOTDATA("AmountOut",Pivots!$B$39,"Year",Pivots!D$40)+GETPIVOTDATA("Sum of TTCAmount",Pivots!$C$26,"Year",Pivots!D$27))</f>
        <v>-6.8125566482152783E-3</v>
      </c>
      <c r="F23" s="26">
        <f>GETPIVOTDATA("AmountOut",Pivots!$B$39,"Year",Pivots!E$40,"CategoryGroup","F")/(GETPIVOTDATA("AmountOut",Pivots!$B$39,"Year",Pivots!E$40)+GETPIVOTDATA("Sum of TTCAmount",Pivots!$C$26,"Year",Pivots!E$27))</f>
        <v>0.16201239303073578</v>
      </c>
      <c r="G23" s="26">
        <f>GETPIVOTDATA("AmountOut",Pivots!$B$39,"Year",Pivots!F$40,"CategoryGroup","F")/(GETPIVOTDATA("AmountOut",Pivots!$B$39,"Year",Pivots!F$40)+GETPIVOTDATA("Sum of TTCAmount",Pivots!$C$26,"Year",Pivots!F$27))</f>
        <v>2.4671075433895844E-2</v>
      </c>
      <c r="H23" s="26">
        <f>GETPIVOTDATA("AmountOut",Pivots!$B$39,"Year",Pivots!G$40,"CategoryGroup","F")/(GETPIVOTDATA("AmountOut",Pivots!$B$39,"Year",Pivots!G$40)+GETPIVOTDATA("Sum of TTCAmount",Pivots!$C$26,"Year",Pivots!G$27))</f>
        <v>3.4823067254811914E-2</v>
      </c>
      <c r="I23" s="26">
        <f>GETPIVOTDATA("AmountOut",Pivots!$B$39,"Year",Pivots!H$40,"CategoryGroup","F")/(GETPIVOTDATA("AmountOut",Pivots!$B$39,"Year",Pivots!H$40)+GETPIVOTDATA("Sum of TTCAmount",Pivots!$C$26,"Year",Pivots!H$27))</f>
        <v>-0.16054374758900203</v>
      </c>
      <c r="J23" s="26">
        <f>GETPIVOTDATA("AmountOut",Pivots!$B$39,"Year",Pivots!I$40,"CategoryGroup","F")/(GETPIVOTDATA("AmountOut",Pivots!$B$39,"Year",Pivots!I$40)+GETPIVOTDATA("Sum of TTCAmount",Pivots!$C$26,"Year",Pivots!I$27))</f>
        <v>7.6839105267926699E-2</v>
      </c>
      <c r="K23" s="26">
        <f>GETPIVOTDATA("AmountOut",Pivots!$B$39,"Year",Pivots!J$40,"CategoryGroup","F")/(GETPIVOTDATA("AmountOut",Pivots!$B$39,"Year",Pivots!J$40)+GETPIVOTDATA("Sum of TTCAmount",Pivots!$C$26,"Year",Pivots!J$27))</f>
        <v>0.10873635248733739</v>
      </c>
      <c r="L23" s="26">
        <f>GETPIVOTDATA("AmountOut",Pivots!$B$39,"Year",Pivots!K$40,"CategoryGroup","F")/(GETPIVOTDATA("AmountOut",Pivots!$B$39,"Year",Pivots!K$40)+GETPIVOTDATA("Sum of TTCAmount",Pivots!$C$26,"Year",Pivots!K$27))</f>
        <v>0.9999866204626644</v>
      </c>
      <c r="P23" s="6" t="str">
        <v>Vu Tien</v>
      </c>
      <c r="Q23" s="3">
        <v>28000</v>
      </c>
      <c r="R23" s="3">
        <v>21209.059999999998</v>
      </c>
      <c r="S23" s="3">
        <v>39633.119999999995</v>
      </c>
      <c r="T23" s="3">
        <v>38703.770000000004</v>
      </c>
      <c r="U23" s="3">
        <v>46606.520000000004</v>
      </c>
      <c r="V23" s="3">
        <v>43029.729999999996</v>
      </c>
      <c r="W23" s="3">
        <v>3000</v>
      </c>
      <c r="X23" s="3"/>
    </row>
    <row r="24" spans="2:25" x14ac:dyDescent="0.2">
      <c r="B24" s="6" t="s">
        <v>214</v>
      </c>
      <c r="C24" s="6"/>
      <c r="D24" s="25">
        <f>GETPIVOTDATA("ManHour",Pivots!$B$58,"Year",Pivots!C$59)</f>
        <v>3.25</v>
      </c>
      <c r="E24" s="25">
        <f>GETPIVOTDATA("ManHour",Pivots!$B$58,"Year",Pivots!D$59)</f>
        <v>0</v>
      </c>
      <c r="F24" s="25">
        <f>GETPIVOTDATA("ManHour",Pivots!$B$58,"Year",Pivots!E$59)</f>
        <v>0</v>
      </c>
      <c r="G24" s="25">
        <f>GETPIVOTDATA("ManHour",Pivots!$B$58,"Year",Pivots!F$59)</f>
        <v>0</v>
      </c>
      <c r="H24" s="25">
        <f>GETPIVOTDATA("ManHour",Pivots!$B$58,"Year",Pivots!G$59)</f>
        <v>0</v>
      </c>
      <c r="I24" s="25">
        <f>GETPIVOTDATA("ManHour",Pivots!$B$58,"Year",Pivots!H$59)</f>
        <v>0</v>
      </c>
      <c r="J24" s="25">
        <f>GETPIVOTDATA("ManHour",Pivots!$B$58,"Year",Pivots!I$59)</f>
        <v>2.5</v>
      </c>
      <c r="K24" s="25">
        <f>GETPIVOTDATA("ManHour",Pivots!$B$58,"Year",Pivots!J$59)</f>
        <v>1.25</v>
      </c>
      <c r="L24" s="25">
        <f>GETPIVOTDATA("ManHour",Pivots!$B$58,"Year",Pivots!K$59)</f>
        <v>0</v>
      </c>
      <c r="P24" s="6" t="str">
        <v>CommonPot</v>
      </c>
      <c r="Q24" s="3">
        <v>0</v>
      </c>
      <c r="R24" s="3">
        <v>0</v>
      </c>
      <c r="S24" s="3">
        <v>325.69</v>
      </c>
      <c r="T24" s="3">
        <v>4169.28</v>
      </c>
      <c r="U24" s="3">
        <v>3955.8199999999993</v>
      </c>
      <c r="V24" s="3">
        <v>364.62</v>
      </c>
      <c r="W24" s="3">
        <v>0</v>
      </c>
      <c r="X24" s="3"/>
    </row>
    <row r="25" spans="2:25" x14ac:dyDescent="0.2">
      <c r="Y25" s="3"/>
    </row>
    <row r="26" spans="2:25" x14ac:dyDescent="0.2">
      <c r="B26" s="6" t="s">
        <v>291</v>
      </c>
      <c r="C26" s="6"/>
      <c r="D26" s="3">
        <f t="shared" ref="D26:L26" si="11">D16/C7</f>
        <v>66.224530516431983</v>
      </c>
      <c r="E26" s="3">
        <f t="shared" si="11"/>
        <v>61.436521739130434</v>
      </c>
      <c r="F26" s="3">
        <f t="shared" si="11"/>
        <v>999.06583857136366</v>
      </c>
      <c r="G26" s="3">
        <f t="shared" si="11"/>
        <v>2532.6259259258832</v>
      </c>
      <c r="H26" s="3">
        <f t="shared" si="11"/>
        <v>4592.553846153739</v>
      </c>
      <c r="I26" s="3">
        <f t="shared" si="11"/>
        <v>1395.6614457831402</v>
      </c>
      <c r="J26" s="3">
        <f t="shared" si="11"/>
        <v>2730.8232631577644</v>
      </c>
      <c r="K26" s="3">
        <f t="shared" si="11"/>
        <v>1959.617333333432</v>
      </c>
      <c r="L26" s="3">
        <f t="shared" si="11"/>
        <v>1.0000000000009095</v>
      </c>
      <c r="Y26" s="3"/>
    </row>
    <row r="27" spans="2:25" x14ac:dyDescent="0.2">
      <c r="B27" s="6" t="s">
        <v>169</v>
      </c>
      <c r="C27" s="6"/>
      <c r="D27" s="3">
        <f t="shared" ref="D27:L27" si="12">D15/C7</f>
        <v>1.6337429577464802</v>
      </c>
      <c r="E27" s="3">
        <f t="shared" si="12"/>
        <v>13.836521739130434</v>
      </c>
      <c r="F27" s="3">
        <f t="shared" si="12"/>
        <v>193.15446428570172</v>
      </c>
      <c r="G27" s="3">
        <f t="shared" si="12"/>
        <v>64.063111111110032</v>
      </c>
      <c r="H27" s="3">
        <f t="shared" si="12"/>
        <v>167.01794871794482</v>
      </c>
      <c r="I27" s="3">
        <f t="shared" si="12"/>
        <v>-209.30120481927827</v>
      </c>
      <c r="J27" s="3">
        <f t="shared" si="12"/>
        <v>245.77697368419879</v>
      </c>
      <c r="K27" s="3">
        <f t="shared" si="12"/>
        <v>243.08000000001232</v>
      </c>
      <c r="L27" s="3">
        <f t="shared" si="12"/>
        <v>74740.000000067972</v>
      </c>
      <c r="R27" s="3"/>
      <c r="S27" s="3"/>
      <c r="T27" s="3"/>
      <c r="U27" s="3"/>
      <c r="V27" s="3"/>
      <c r="W27" s="3"/>
      <c r="X27" s="3"/>
      <c r="Y27" s="3"/>
    </row>
    <row r="28" spans="2:25" x14ac:dyDescent="0.2">
      <c r="B28" s="6" t="s">
        <v>170</v>
      </c>
      <c r="C28" s="6"/>
      <c r="D28" s="86">
        <f t="shared" ref="D28:H28" si="13">D26+D27</f>
        <v>67.858273474178461</v>
      </c>
      <c r="E28" s="86">
        <f t="shared" si="13"/>
        <v>75.273043478260874</v>
      </c>
      <c r="F28" s="86">
        <f t="shared" si="13"/>
        <v>1192.2203028570655</v>
      </c>
      <c r="G28" s="86">
        <f t="shared" si="13"/>
        <v>2596.6890370369933</v>
      </c>
      <c r="H28" s="86">
        <f t="shared" si="13"/>
        <v>4759.5717948716838</v>
      </c>
      <c r="I28" s="86">
        <f>I26+I27</f>
        <v>1186.360240963862</v>
      </c>
      <c r="J28" s="86">
        <f t="shared" ref="J28:L28" si="14">J26+J27</f>
        <v>2976.6002368419631</v>
      </c>
      <c r="K28" s="86">
        <f t="shared" si="14"/>
        <v>2202.6973333334445</v>
      </c>
      <c r="L28" s="86">
        <f t="shared" si="14"/>
        <v>74741.000000067972</v>
      </c>
      <c r="Q28" s="6"/>
      <c r="R28" s="79"/>
      <c r="S28" s="79"/>
      <c r="T28" s="79"/>
      <c r="U28" s="79"/>
      <c r="V28" s="79"/>
      <c r="W28" s="79"/>
      <c r="X28" s="79"/>
      <c r="Y28" s="3"/>
    </row>
    <row r="29" spans="2:25" x14ac:dyDescent="0.2">
      <c r="B29" s="6" t="s">
        <v>172</v>
      </c>
      <c r="C29" s="6"/>
      <c r="D29" s="28">
        <f t="shared" ref="D29:L29" si="15">D24/C7</f>
        <v>3.8145539906103317E-2</v>
      </c>
      <c r="E29" s="28">
        <f t="shared" si="15"/>
        <v>0</v>
      </c>
      <c r="F29" s="28">
        <f t="shared" si="15"/>
        <v>0</v>
      </c>
      <c r="G29" s="28">
        <f t="shared" si="15"/>
        <v>0</v>
      </c>
      <c r="H29" s="28">
        <f t="shared" si="15"/>
        <v>0</v>
      </c>
      <c r="I29" s="28">
        <f t="shared" si="15"/>
        <v>0</v>
      </c>
      <c r="J29" s="28">
        <f t="shared" si="15"/>
        <v>0.65789473684207378</v>
      </c>
      <c r="K29" s="28">
        <f t="shared" si="15"/>
        <v>0.27777777777779183</v>
      </c>
      <c r="L29" s="28">
        <f t="shared" si="15"/>
        <v>0</v>
      </c>
      <c r="P29" s="28"/>
    </row>
    <row r="30" spans="2:25" x14ac:dyDescent="0.2">
      <c r="B30" s="6" t="s">
        <v>281</v>
      </c>
      <c r="C30" s="6"/>
      <c r="D30" s="3">
        <f t="shared" ref="D30:L30" si="16">D19/C7</f>
        <v>64.932276995305216</v>
      </c>
      <c r="E30" s="3">
        <f t="shared" si="16"/>
        <v>61.436521739130434</v>
      </c>
      <c r="F30" s="3">
        <f t="shared" si="16"/>
        <v>999.06583857136366</v>
      </c>
      <c r="G30" s="3">
        <f t="shared" si="16"/>
        <v>2532.6259259258832</v>
      </c>
      <c r="H30" s="3">
        <f t="shared" si="16"/>
        <v>4193.9051282050305</v>
      </c>
      <c r="I30" s="3">
        <f t="shared" si="16"/>
        <v>1378.004819277116</v>
      </c>
      <c r="J30" s="3">
        <f t="shared" si="16"/>
        <v>2577.6754210525082</v>
      </c>
      <c r="K30" s="3">
        <f t="shared" si="16"/>
        <v>1959.617333333432</v>
      </c>
      <c r="L30" s="3">
        <f t="shared" si="16"/>
        <v>1.0000000000009095</v>
      </c>
      <c r="N30" s="3">
        <f>K28-K30</f>
        <v>243.08000000001243</v>
      </c>
      <c r="O30" t="s">
        <v>283</v>
      </c>
    </row>
    <row r="31" spans="2:25" x14ac:dyDescent="0.2">
      <c r="B31" s="6" t="s">
        <v>309</v>
      </c>
      <c r="C31" s="6"/>
      <c r="D31" s="28">
        <f t="shared" ref="D31:L31" si="17">D20/C7</f>
        <v>28.195774647887344</v>
      </c>
      <c r="E31" s="28">
        <f t="shared" si="17"/>
        <v>34.227826086956519</v>
      </c>
      <c r="F31" s="28">
        <f t="shared" si="17"/>
        <v>643.79285714281536</v>
      </c>
      <c r="G31" s="28">
        <f t="shared" si="17"/>
        <v>1380.8851851851618</v>
      </c>
      <c r="H31" s="28">
        <f t="shared" si="17"/>
        <v>1613.0384615384232</v>
      </c>
      <c r="I31" s="28">
        <f t="shared" si="17"/>
        <v>559.04216867470177</v>
      </c>
      <c r="J31" s="28">
        <f t="shared" si="17"/>
        <v>1094.7789473683686</v>
      </c>
      <c r="K31" s="28">
        <f t="shared" si="17"/>
        <v>893.60222222226753</v>
      </c>
      <c r="L31" s="28">
        <f t="shared" si="17"/>
        <v>0.37037037037070719</v>
      </c>
      <c r="O31" t="s">
        <v>282</v>
      </c>
    </row>
    <row r="33" spans="2:23" x14ac:dyDescent="0.2">
      <c r="B33" s="30" t="s">
        <v>50</v>
      </c>
      <c r="C33" s="31"/>
      <c r="D33" s="32">
        <f>GETPIVOTDATA("AmountOut",Pivots!$B$3,"Year",Pivots!J4,"Category","X-Change propeller hub")</f>
        <v>0</v>
      </c>
      <c r="P33" s="6" t="s">
        <v>287</v>
      </c>
    </row>
    <row r="34" spans="2:23" x14ac:dyDescent="0.2">
      <c r="B34" s="30" t="s">
        <v>43</v>
      </c>
      <c r="C34" s="31"/>
      <c r="D34" s="32">
        <f>GETPIVOTDATA("AmountOut",Pivots!$B$3,"Category","X-Landing gear replacement")</f>
        <v>-24222.510000000002</v>
      </c>
      <c r="Q34" s="78" cm="1">
        <f t="array" ref="Q34:W34">_xlfn.DROP(_xlfn.TAKE(_xlfn.ANCHORARRAY($P$3),1),,1)</f>
        <v>2020</v>
      </c>
      <c r="R34" s="78">
        <v>2021</v>
      </c>
      <c r="S34" s="78">
        <v>2022</v>
      </c>
      <c r="T34" s="78">
        <v>2023</v>
      </c>
      <c r="U34" s="78">
        <v>2024</v>
      </c>
      <c r="V34" s="78">
        <v>2025</v>
      </c>
      <c r="W34" s="78">
        <v>2026</v>
      </c>
    </row>
    <row r="35" spans="2:23" x14ac:dyDescent="0.2">
      <c r="B35" s="30" t="s">
        <v>44</v>
      </c>
      <c r="C35" s="31"/>
      <c r="D35" s="32">
        <f>GETPIVOTDATA("AmountOut",Pivots!$B$3,"Category","X-Raft, Life vests, masks O2")</f>
        <v>898.53660000000002</v>
      </c>
      <c r="P35" s="6" t="str" cm="1">
        <f t="array" ref="P35:P39">_xlfn.LET(
  _xlpm.pilots,
  _xlfn.TOCOL(
    CHOOSE(
      {1,2,3},
      _xlfn.DROP(_xlfn.TAKE(_xlfn.ANCHORARRAY($P$3),,1),1),
      _xlfn.DROP(_xlfn.TAKE(_xlfn.ANCHORARRAY($P$11),,1),1),
      _xlfn.DROP(_xlfn.TAKE(_xlfn.ANCHORARRAY($P$19),,1),1)
    )
  ),
  _xlfn._xlws.SORT(
    _xlfn.UNIQUE(
      _xlfn._xlws.FILTER(
        _xlpm.pilots,
        ISTEXT(_xlpm.pilots)
      )
    )
  )
)</f>
        <v>CommonPot</v>
      </c>
      <c r="Q35" s="3" cm="1">
        <f t="array" ref="Q35">IFERROR(
  _xlfn.XLOOKUP(
    $P35,
    _xlfn.DROP(_xlfn.TAKE(_xlfn.ANCHORARRAY($P$19),,1),1),
    _xlfn.XLOOKUP(
      Q$34,
      _xlfn.DROP(_xlfn.TAKE(_xlfn.ANCHORARRAY($P$19),1),,1),
      _xlfn.DROP(_xlfn.ANCHORARRAY($P$19),1,1)
    )
  ),
  0
)
-
IFERROR(
  _xlfn.XLOOKUP(
    $P35,
    _xlfn.DROP(_xlfn.TAKE(_xlfn.ANCHORARRAY($P$3),,1),1),
    _xlfn.XLOOKUP(
      Q$34,
      _xlfn.DROP(_xlfn.TAKE(_xlfn.ANCHORARRAY($P$3),1),,1),
      _xlfn.DROP(_xlfn.ANCHORARRAY($P$3),1,1)
    )
  ),
  0
)
-
IFERROR(
  _xlfn.XLOOKUP(
    $P35,
    _xlfn.DROP(_xlfn.TAKE(_xlfn.ANCHORARRAY($P$11),,1),1),
    _xlfn.XLOOKUP(
      Q$34,
      _xlfn.DROP(_xlfn.TAKE(_xlfn.ANCHORARRAY($P$11),1),,1),
      _xlfn.DROP(_xlfn.ANCHORARRAY($P$11),1,1)
    )
  ),
  0
)</f>
        <v>0</v>
      </c>
      <c r="R35" s="3" cm="1">
        <f t="array" ref="R35">IFERROR(
  _xlfn.XLOOKUP(
    $P35,
    _xlfn.DROP(_xlfn.TAKE(_xlfn.ANCHORARRAY($P$19),,1),1),
    _xlfn.XLOOKUP(
      R$34,
      _xlfn.DROP(_xlfn.TAKE(_xlfn.ANCHORARRAY($P$19),1),,1),
      _xlfn.DROP(_xlfn.ANCHORARRAY($P$19),1,1)
    )
  ),
  0
)
-
IFERROR(
  _xlfn.XLOOKUP(
    $P35,
    _xlfn.DROP(_xlfn.TAKE(_xlfn.ANCHORARRAY($P$3),,1),1),
    _xlfn.XLOOKUP(
      R$34,
      _xlfn.DROP(_xlfn.TAKE(_xlfn.ANCHORARRAY($P$3),1),,1),
      _xlfn.DROP(_xlfn.ANCHORARRAY($P$3),1,1)
    )
  ),
  0
)
-
IFERROR(
  _xlfn.XLOOKUP(
    $P35,
    _xlfn.DROP(_xlfn.TAKE(_xlfn.ANCHORARRAY($P$11),,1),1),
    _xlfn.XLOOKUP(
      R$34,
      _xlfn.DROP(_xlfn.TAKE(_xlfn.ANCHORARRAY($P$11),1),,1),
      _xlfn.DROP(_xlfn.ANCHORARRAY($P$11),1,1)
    )
  ),
  0
)</f>
        <v>0</v>
      </c>
      <c r="S35" s="3" cm="1">
        <f t="array" ref="S35">IFERROR(
  _xlfn.XLOOKUP(
    $P35,
    _xlfn.DROP(_xlfn.TAKE(_xlfn.ANCHORARRAY($P$19),,1),1),
    _xlfn.XLOOKUP(
      S$34,
      _xlfn.DROP(_xlfn.TAKE(_xlfn.ANCHORARRAY($P$19),1),,1),
      _xlfn.DROP(_xlfn.ANCHORARRAY($P$19),1,1)
    )
  ),
  0
)
-
IFERROR(
  _xlfn.XLOOKUP(
    $P35,
    _xlfn.DROP(_xlfn.TAKE(_xlfn.ANCHORARRAY($P$3),,1),1),
    _xlfn.XLOOKUP(
      S$34,
      _xlfn.DROP(_xlfn.TAKE(_xlfn.ANCHORARRAY($P$3),1),,1),
      _xlfn.DROP(_xlfn.ANCHORARRAY($P$3),1,1)
    )
  ),
  0
)
-
IFERROR(
  _xlfn.XLOOKUP(
    $P35,
    _xlfn.DROP(_xlfn.TAKE(_xlfn.ANCHORARRAY($P$11),,1),1),
    _xlfn.XLOOKUP(
      S$34,
      _xlfn.DROP(_xlfn.TAKE(_xlfn.ANCHORARRAY($P$11),1),,1),
      _xlfn.DROP(_xlfn.ANCHORARRAY($P$11),1,1)
    )
  ),
  0
)</f>
        <v>-109.50051282109666</v>
      </c>
      <c r="T35" s="3" cm="1">
        <f t="array" ref="T35">IFERROR(
  _xlfn.XLOOKUP(
    $P35,
    _xlfn.DROP(_xlfn.TAKE(_xlfn.ANCHORARRAY($P$19),,1),1),
    _xlfn.XLOOKUP(
      T$34,
      _xlfn.DROP(_xlfn.TAKE(_xlfn.ANCHORARRAY($P$19),1),,1),
      _xlfn.DROP(_xlfn.ANCHORARRAY($P$19),1,1)
    )
  ),
  0
)
-
IFERROR(
  _xlfn.XLOOKUP(
    $P35,
    _xlfn.DROP(_xlfn.TAKE(_xlfn.ANCHORARRAY($P$3),,1),1),
    _xlfn.XLOOKUP(
      T$34,
      _xlfn.DROP(_xlfn.TAKE(_xlfn.ANCHORARRAY($P$3),1),,1),
      _xlfn.DROP(_xlfn.ANCHORARRAY($P$3),1,1)
    )
  ),
  0
)
-
IFERROR(
  _xlfn.XLOOKUP(
    $P35,
    _xlfn.DROP(_xlfn.TAKE(_xlfn.ANCHORARRAY($P$11),,1),1),
    _xlfn.XLOOKUP(
      T$34,
      _xlfn.DROP(_xlfn.TAKE(_xlfn.ANCHORARRAY($P$11),1),,1),
      _xlfn.DROP(_xlfn.ANCHORARRAY($P$11),1,1)
    )
  ),
  0
)</f>
        <v>4169.28</v>
      </c>
      <c r="U35" s="3" cm="1">
        <f t="array" ref="U35">IFERROR(
  _xlfn.XLOOKUP(
    $P35,
    _xlfn.DROP(_xlfn.TAKE(_xlfn.ANCHORARRAY($P$19),,1),1),
    _xlfn.XLOOKUP(
      U$34,
      _xlfn.DROP(_xlfn.TAKE(_xlfn.ANCHORARRAY($P$19),1),,1),
      _xlfn.DROP(_xlfn.ANCHORARRAY($P$19),1,1)
    )
  ),
  0
)
-
IFERROR(
  _xlfn.XLOOKUP(
    $P35,
    _xlfn.DROP(_xlfn.TAKE(_xlfn.ANCHORARRAY($P$3),,1),1),
    _xlfn.XLOOKUP(
      U$34,
      _xlfn.DROP(_xlfn.TAKE(_xlfn.ANCHORARRAY($P$3),1),,1),
      _xlfn.DROP(_xlfn.ANCHORARRAY($P$3),1,1)
    )
  ),
  0
)
-
IFERROR(
  _xlfn.XLOOKUP(
    $P35,
    _xlfn.DROP(_xlfn.TAKE(_xlfn.ANCHORARRAY($P$11),,1),1),
    _xlfn.XLOOKUP(
      U$34,
      _xlfn.DROP(_xlfn.TAKE(_xlfn.ANCHORARRAY($P$11),1),,1),
      _xlfn.DROP(_xlfn.ANCHORARRAY($P$11),1,1)
    )
  ),
  0
)</f>
        <v>3955.8199999999993</v>
      </c>
      <c r="V35" s="3" cm="1">
        <f t="array" ref="V35">IFERROR(
  _xlfn.XLOOKUP(
    $P35,
    _xlfn.DROP(_xlfn.TAKE(_xlfn.ANCHORARRAY($P$19),,1),1),
    _xlfn.XLOOKUP(
      V$34,
      _xlfn.DROP(_xlfn.TAKE(_xlfn.ANCHORARRAY($P$19),1),,1),
      _xlfn.DROP(_xlfn.ANCHORARRAY($P$19),1,1)
    )
  ),
  0
)
-
IFERROR(
  _xlfn.XLOOKUP(
    $P35,
    _xlfn.DROP(_xlfn.TAKE(_xlfn.ANCHORARRAY($P$3),,1),1),
    _xlfn.XLOOKUP(
      V$34,
      _xlfn.DROP(_xlfn.TAKE(_xlfn.ANCHORARRAY($P$3),1),,1),
      _xlfn.DROP(_xlfn.ANCHORARRAY($P$3),1,1)
    )
  ),
  0
)
-
IFERROR(
  _xlfn.XLOOKUP(
    $P35,
    _xlfn.DROP(_xlfn.TAKE(_xlfn.ANCHORARRAY($P$11),,1),1),
    _xlfn.XLOOKUP(
      V$34,
      _xlfn.DROP(_xlfn.TAKE(_xlfn.ANCHORARRAY($P$11),1),,1),
      _xlfn.DROP(_xlfn.ANCHORARRAY($P$11),1,1)
    )
  ),
  0
)</f>
        <v>364.62</v>
      </c>
      <c r="W35" s="3" cm="1">
        <f t="array" ref="W35">IFERROR(
  _xlfn.XLOOKUP(
    $P35,
    _xlfn.DROP(_xlfn.TAKE(_xlfn.ANCHORARRAY($P$19),,1),1),
    _xlfn.XLOOKUP(
      W$34,
      _xlfn.DROP(_xlfn.TAKE(_xlfn.ANCHORARRAY($P$19),1),,1),
      _xlfn.DROP(_xlfn.ANCHORARRAY($P$19),1,1)
    )
  ),
  0
)
-
IFERROR(
  _xlfn.XLOOKUP(
    $P35,
    _xlfn.DROP(_xlfn.TAKE(_xlfn.ANCHORARRAY($P$3),,1),1),
    _xlfn.XLOOKUP(
      W$34,
      _xlfn.DROP(_xlfn.TAKE(_xlfn.ANCHORARRAY($P$3),1),,1),
      _xlfn.DROP(_xlfn.ANCHORARRAY($P$3),1,1)
    )
  ),
  0
)
-
IFERROR(
  _xlfn.XLOOKUP(
    $P35,
    _xlfn.DROP(_xlfn.TAKE(_xlfn.ANCHORARRAY($P$11),,1),1),
    _xlfn.XLOOKUP(
      W$34,
      _xlfn.DROP(_xlfn.TAKE(_xlfn.ANCHORARRAY($P$11),1),,1),
      _xlfn.DROP(_xlfn.ANCHORARRAY($P$11),1,1)
    )
  ),
  0
)</f>
        <v>0</v>
      </c>
    </row>
    <row r="36" spans="2:23" x14ac:dyDescent="0.2">
      <c r="P36" s="6" t="str">
        <v>Dominique</v>
      </c>
      <c r="Q36" s="3" cm="1">
        <f t="array" ref="Q36">IFERROR(
  _xlfn.XLOOKUP(
    $P36,
    _xlfn.DROP(_xlfn.TAKE(_xlfn.ANCHORARRAY($P$19),,1),1),
    _xlfn.XLOOKUP(
      Q$34,
      _xlfn.DROP(_xlfn.TAKE(_xlfn.ANCHORARRAY($P$19),1),,1),
      _xlfn.DROP(_xlfn.ANCHORARRAY($P$19),1,1)
    )
  ),
  0
)
-
IFERROR(
  _xlfn.XLOOKUP(
    $P36,
    _xlfn.DROP(_xlfn.TAKE(_xlfn.ANCHORARRAY($P$3),,1),1),
    _xlfn.XLOOKUP(
      Q$34,
      _xlfn.DROP(_xlfn.TAKE(_xlfn.ANCHORARRAY($P$3),1),,1),
      _xlfn.DROP(_xlfn.ANCHORARRAY($P$3),1,1)
    )
  ),
  0
)
-
IFERROR(
  _xlfn.XLOOKUP(
    $P36,
    _xlfn.DROP(_xlfn.TAKE(_xlfn.ANCHORARRAY($P$11),,1),1),
    _xlfn.XLOOKUP(
      Q$34,
      _xlfn.DROP(_xlfn.TAKE(_xlfn.ANCHORARRAY($P$11),1),,1),
      _xlfn.DROP(_xlfn.ANCHORARRAY($P$11),1,1)
    )
  ),
  0
)</f>
        <v>0</v>
      </c>
      <c r="R36" s="3" cm="1">
        <f t="array" ref="R36">IFERROR(
  _xlfn.XLOOKUP(
    $P36,
    _xlfn.DROP(_xlfn.TAKE(_xlfn.ANCHORARRAY($P$19),,1),1),
    _xlfn.XLOOKUP(
      R$34,
      _xlfn.DROP(_xlfn.TAKE(_xlfn.ANCHORARRAY($P$19),1),,1),
      _xlfn.DROP(_xlfn.ANCHORARRAY($P$19),1,1)
    )
  ),
  0
)
-
IFERROR(
  _xlfn.XLOOKUP(
    $P36,
    _xlfn.DROP(_xlfn.TAKE(_xlfn.ANCHORARRAY($P$3),,1),1),
    _xlfn.XLOOKUP(
      R$34,
      _xlfn.DROP(_xlfn.TAKE(_xlfn.ANCHORARRAY($P$3),1),,1),
      _xlfn.DROP(_xlfn.ANCHORARRAY($P$3),1,1)
    )
  ),
  0
)
-
IFERROR(
  _xlfn.XLOOKUP(
    $P36,
    _xlfn.DROP(_xlfn.TAKE(_xlfn.ANCHORARRAY($P$11),,1),1),
    _xlfn.XLOOKUP(
      R$34,
      _xlfn.DROP(_xlfn.TAKE(_xlfn.ANCHORARRAY($P$11),1),,1),
      _xlfn.DROP(_xlfn.ANCHORARRAY($P$11),1,1)
    )
  ),
  0
)</f>
        <v>2600</v>
      </c>
      <c r="S36" s="3" cm="1">
        <f t="array" ref="S36">IFERROR(
  _xlfn.XLOOKUP(
    $P36,
    _xlfn.DROP(_xlfn.TAKE(_xlfn.ANCHORARRAY($P$19),,1),1),
    _xlfn.XLOOKUP(
      S$34,
      _xlfn.DROP(_xlfn.TAKE(_xlfn.ANCHORARRAY($P$19),1),,1),
      _xlfn.DROP(_xlfn.ANCHORARRAY($P$19),1,1)
    )
  ),
  0
)
-
IFERROR(
  _xlfn.XLOOKUP(
    $P36,
    _xlfn.DROP(_xlfn.TAKE(_xlfn.ANCHORARRAY($P$3),,1),1),
    _xlfn.XLOOKUP(
      S$34,
      _xlfn.DROP(_xlfn.TAKE(_xlfn.ANCHORARRAY($P$3),1),,1),
      _xlfn.DROP(_xlfn.ANCHORARRAY($P$3),1,1)
    )
  ),
  0
)
-
IFERROR(
  _xlfn.XLOOKUP(
    $P36,
    _xlfn.DROP(_xlfn.TAKE(_xlfn.ANCHORARRAY($P$11),,1),1),
    _xlfn.XLOOKUP(
      S$34,
      _xlfn.DROP(_xlfn.TAKE(_xlfn.ANCHORARRAY($P$11),1),,1),
      _xlfn.DROP(_xlfn.ANCHORARRAY($P$11),1,1)
    )
  ),
  0
)</f>
        <v>4736.17</v>
      </c>
      <c r="T36" s="3" cm="1">
        <f t="array" ref="T36">IFERROR(
  _xlfn.XLOOKUP(
    $P36,
    _xlfn.DROP(_xlfn.TAKE(_xlfn.ANCHORARRAY($P$19),,1),1),
    _xlfn.XLOOKUP(
      T$34,
      _xlfn.DROP(_xlfn.TAKE(_xlfn.ANCHORARRAY($P$19),1),,1),
      _xlfn.DROP(_xlfn.ANCHORARRAY($P$19),1,1)
    )
  ),
  0
)
-
IFERROR(
  _xlfn.XLOOKUP(
    $P36,
    _xlfn.DROP(_xlfn.TAKE(_xlfn.ANCHORARRAY($P$3),,1),1),
    _xlfn.XLOOKUP(
      T$34,
      _xlfn.DROP(_xlfn.TAKE(_xlfn.ANCHORARRAY($P$3),1),,1),
      _xlfn.DROP(_xlfn.ANCHORARRAY($P$3),1,1)
    )
  ),
  0
)
-
IFERROR(
  _xlfn.XLOOKUP(
    $P36,
    _xlfn.DROP(_xlfn.TAKE(_xlfn.ANCHORARRAY($P$11),,1),1),
    _xlfn.XLOOKUP(
      T$34,
      _xlfn.DROP(_xlfn.TAKE(_xlfn.ANCHORARRAY($P$11),1),,1),
      _xlfn.DROP(_xlfn.ANCHORARRAY($P$11),1,1)
    )
  ),
  0
)</f>
        <v>-414.27253012072015</v>
      </c>
      <c r="U36" s="3" cm="1">
        <f t="array" ref="U36">IFERROR(
  _xlfn.XLOOKUP(
    $P36,
    _xlfn.DROP(_xlfn.TAKE(_xlfn.ANCHORARRAY($P$19),,1),1),
    _xlfn.XLOOKUP(
      U$34,
      _xlfn.DROP(_xlfn.TAKE(_xlfn.ANCHORARRAY($P$19),1),,1),
      _xlfn.DROP(_xlfn.ANCHORARRAY($P$19),1,1)
    )
  ),
  0
)
-
IFERROR(
  _xlfn.XLOOKUP(
    $P36,
    _xlfn.DROP(_xlfn.TAKE(_xlfn.ANCHORARRAY($P$3),,1),1),
    _xlfn.XLOOKUP(
      U$34,
      _xlfn.DROP(_xlfn.TAKE(_xlfn.ANCHORARRAY($P$3),1),,1),
      _xlfn.DROP(_xlfn.ANCHORARRAY($P$3),1,1)
    )
  ),
  0
)
-
IFERROR(
  _xlfn.XLOOKUP(
    $P36,
    _xlfn.DROP(_xlfn.TAKE(_xlfn.ANCHORARRAY($P$11),,1),1),
    _xlfn.XLOOKUP(
      U$34,
      _xlfn.DROP(_xlfn.TAKE(_xlfn.ANCHORARRAY($P$11),1),,1),
      _xlfn.DROP(_xlfn.ANCHORARRAY($P$11),1,1)
    )
  ),
  0
)</f>
        <v>0</v>
      </c>
      <c r="V36" s="3" cm="1">
        <f t="array" ref="V36">IFERROR(
  _xlfn.XLOOKUP(
    $P36,
    _xlfn.DROP(_xlfn.TAKE(_xlfn.ANCHORARRAY($P$19),,1),1),
    _xlfn.XLOOKUP(
      V$34,
      _xlfn.DROP(_xlfn.TAKE(_xlfn.ANCHORARRAY($P$19),1),,1),
      _xlfn.DROP(_xlfn.ANCHORARRAY($P$19),1,1)
    )
  ),
  0
)
-
IFERROR(
  _xlfn.XLOOKUP(
    $P36,
    _xlfn.DROP(_xlfn.TAKE(_xlfn.ANCHORARRAY($P$3),,1),1),
    _xlfn.XLOOKUP(
      V$34,
      _xlfn.DROP(_xlfn.TAKE(_xlfn.ANCHORARRAY($P$3),1),,1),
      _xlfn.DROP(_xlfn.ANCHORARRAY($P$3),1,1)
    )
  ),
  0
)
-
IFERROR(
  _xlfn.XLOOKUP(
    $P36,
    _xlfn.DROP(_xlfn.TAKE(_xlfn.ANCHORARRAY($P$11),,1),1),
    _xlfn.XLOOKUP(
      V$34,
      _xlfn.DROP(_xlfn.TAKE(_xlfn.ANCHORARRAY($P$11),1),,1),
      _xlfn.DROP(_xlfn.ANCHORARRAY($P$11),1,1)
    )
  ),
  0
)</f>
        <v>0</v>
      </c>
      <c r="W36" s="3" cm="1">
        <f t="array" ref="W36">IFERROR(
  _xlfn.XLOOKUP(
    $P36,
    _xlfn.DROP(_xlfn.TAKE(_xlfn.ANCHORARRAY($P$19),,1),1),
    _xlfn.XLOOKUP(
      W$34,
      _xlfn.DROP(_xlfn.TAKE(_xlfn.ANCHORARRAY($P$19),1),,1),
      _xlfn.DROP(_xlfn.ANCHORARRAY($P$19),1,1)
    )
  ),
  0
)
-
IFERROR(
  _xlfn.XLOOKUP(
    $P36,
    _xlfn.DROP(_xlfn.TAKE(_xlfn.ANCHORARRAY($P$3),,1),1),
    _xlfn.XLOOKUP(
      W$34,
      _xlfn.DROP(_xlfn.TAKE(_xlfn.ANCHORARRAY($P$3),1),,1),
      _xlfn.DROP(_xlfn.ANCHORARRAY($P$3),1,1)
    )
  ),
  0
)
-
IFERROR(
  _xlfn.XLOOKUP(
    $P36,
    _xlfn.DROP(_xlfn.TAKE(_xlfn.ANCHORARRAY($P$11),,1),1),
    _xlfn.XLOOKUP(
      W$34,
      _xlfn.DROP(_xlfn.TAKE(_xlfn.ANCHORARRAY($P$11),1),,1),
      _xlfn.DROP(_xlfn.ANCHORARRAY($P$11),1,1)
    )
  ),
  0
)</f>
        <v>0</v>
      </c>
    </row>
    <row r="37" spans="2:23" x14ac:dyDescent="0.2">
      <c r="B37" s="34" t="s">
        <v>174</v>
      </c>
      <c r="D37" s="3">
        <f>AVERAGE(D14:L14)</f>
        <v>5029.0660942222221</v>
      </c>
      <c r="P37" s="6" t="str">
        <v>Guy</v>
      </c>
      <c r="Q37" s="3" cm="1">
        <f t="array" ref="Q37">IFERROR(
  _xlfn.XLOOKUP(
    $P37,
    _xlfn.DROP(_xlfn.TAKE(_xlfn.ANCHORARRAY($P$19),,1),1),
    _xlfn.XLOOKUP(
      Q$34,
      _xlfn.DROP(_xlfn.TAKE(_xlfn.ANCHORARRAY($P$19),1),,1),
      _xlfn.DROP(_xlfn.ANCHORARRAY($P$19),1,1)
    )
  ),
  0
)
-
IFERROR(
  _xlfn.XLOOKUP(
    $P37,
    _xlfn.DROP(_xlfn.TAKE(_xlfn.ANCHORARRAY($P$3),,1),1),
    _xlfn.XLOOKUP(
      Q$34,
      _xlfn.DROP(_xlfn.TAKE(_xlfn.ANCHORARRAY($P$3),1),,1),
      _xlfn.DROP(_xlfn.ANCHORARRAY($P$3),1,1)
    )
  ),
  0
)
-
IFERROR(
  _xlfn.XLOOKUP(
    $P37,
    _xlfn.DROP(_xlfn.TAKE(_xlfn.ANCHORARRAY($P$11),,1),1),
    _xlfn.XLOOKUP(
      Q$34,
      _xlfn.DROP(_xlfn.TAKE(_xlfn.ANCHORARRAY($P$11),1),,1),
      _xlfn.DROP(_xlfn.ANCHORARRAY($P$11),1,1)
    )
  ),
  0
)</f>
        <v>1958.6407452856674</v>
      </c>
      <c r="R37" s="3" cm="1">
        <f t="array" ref="R37">IFERROR(
  _xlfn.XLOOKUP(
    $P37,
    _xlfn.DROP(_xlfn.TAKE(_xlfn.ANCHORARRAY($P$19),,1),1),
    _xlfn.XLOOKUP(
      R$34,
      _xlfn.DROP(_xlfn.TAKE(_xlfn.ANCHORARRAY($P$19),1),,1),
      _xlfn.DROP(_xlfn.ANCHORARRAY($P$19),1,1)
    )
  ),
  0
)
-
IFERROR(
  _xlfn.XLOOKUP(
    $P37,
    _xlfn.DROP(_xlfn.TAKE(_xlfn.ANCHORARRAY($P$3),,1),1),
    _xlfn.XLOOKUP(
      R$34,
      _xlfn.DROP(_xlfn.TAKE(_xlfn.ANCHORARRAY($P$3),1),,1),
      _xlfn.DROP(_xlfn.ANCHORARRAY($P$3),1,1)
    )
  ),
  0
)
-
IFERROR(
  _xlfn.XLOOKUP(
    $P37,
    _xlfn.DROP(_xlfn.TAKE(_xlfn.ANCHORARRAY($P$11),,1),1),
    _xlfn.XLOOKUP(
      R$34,
      _xlfn.DROP(_xlfn.TAKE(_xlfn.ANCHORARRAY($P$11),1),,1),
      _xlfn.DROP(_xlfn.ANCHORARRAY($P$11),1,1)
    )
  ),
  0
)</f>
        <v>6071.6</v>
      </c>
      <c r="S37" s="3" cm="1">
        <f t="array" ref="S37">IFERROR(
  _xlfn.XLOOKUP(
    $P37,
    _xlfn.DROP(_xlfn.TAKE(_xlfn.ANCHORARRAY($P$19),,1),1),
    _xlfn.XLOOKUP(
      S$34,
      _xlfn.DROP(_xlfn.TAKE(_xlfn.ANCHORARRAY($P$19),1),,1),
      _xlfn.DROP(_xlfn.ANCHORARRAY($P$19),1,1)
    )
  ),
  0
)
-
IFERROR(
  _xlfn.XLOOKUP(
    $P37,
    _xlfn.DROP(_xlfn.TAKE(_xlfn.ANCHORARRAY($P$3),,1),1),
    _xlfn.XLOOKUP(
      S$34,
      _xlfn.DROP(_xlfn.TAKE(_xlfn.ANCHORARRAY($P$3),1),,1),
      _xlfn.DROP(_xlfn.ANCHORARRAY($P$3),1,1)
    )
  ),
  0
)
-
IFERROR(
  _xlfn.XLOOKUP(
    $P37,
    _xlfn.DROP(_xlfn.TAKE(_xlfn.ANCHORARRAY($P$11),,1),1),
    _xlfn.XLOOKUP(
      S$34,
      _xlfn.DROP(_xlfn.TAKE(_xlfn.ANCHORARRAY($P$11),1),,1),
      _xlfn.DROP(_xlfn.ANCHORARRAY($P$11),1,1)
    )
  ),
  0
)</f>
        <v>-7114.9058974351956</v>
      </c>
      <c r="T37" s="3" cm="1">
        <f t="array" ref="T37">IFERROR(
  _xlfn.XLOOKUP(
    $P37,
    _xlfn.DROP(_xlfn.TAKE(_xlfn.ANCHORARRAY($P$19),,1),1),
    _xlfn.XLOOKUP(
      T$34,
      _xlfn.DROP(_xlfn.TAKE(_xlfn.ANCHORARRAY($P$19),1),,1),
      _xlfn.DROP(_xlfn.ANCHORARRAY($P$19),1,1)
    )
  ),
  0
)
-
IFERROR(
  _xlfn.XLOOKUP(
    $P37,
    _xlfn.DROP(_xlfn.TAKE(_xlfn.ANCHORARRAY($P$3),,1),1),
    _xlfn.XLOOKUP(
      T$34,
      _xlfn.DROP(_xlfn.TAKE(_xlfn.ANCHORARRAY($P$3),1),,1),
      _xlfn.DROP(_xlfn.ANCHORARRAY($P$3),1,1)
    )
  ),
  0
)
-
IFERROR(
  _xlfn.XLOOKUP(
    $P37,
    _xlfn.DROP(_xlfn.TAKE(_xlfn.ANCHORARRAY($P$11),,1),1),
    _xlfn.XLOOKUP(
      T$34,
      _xlfn.DROP(_xlfn.TAKE(_xlfn.ANCHORARRAY($P$11),1),,1),
      _xlfn.DROP(_xlfn.ANCHORARRAY($P$11),1,1)
    )
  ),
  0
)</f>
        <v>3918.8200000000006</v>
      </c>
      <c r="U37" s="3" cm="1">
        <f t="array" ref="U37">IFERROR(
  _xlfn.XLOOKUP(
    $P37,
    _xlfn.DROP(_xlfn.TAKE(_xlfn.ANCHORARRAY($P$19),,1),1),
    _xlfn.XLOOKUP(
      U$34,
      _xlfn.DROP(_xlfn.TAKE(_xlfn.ANCHORARRAY($P$19),1),,1),
      _xlfn.DROP(_xlfn.ANCHORARRAY($P$19),1,1)
    )
  ),
  0
)
-
IFERROR(
  _xlfn.XLOOKUP(
    $P37,
    _xlfn.DROP(_xlfn.TAKE(_xlfn.ANCHORARRAY($P$3),,1),1),
    _xlfn.XLOOKUP(
      U$34,
      _xlfn.DROP(_xlfn.TAKE(_xlfn.ANCHORARRAY($P$3),1),,1),
      _xlfn.DROP(_xlfn.ANCHORARRAY($P$3),1,1)
    )
  ),
  0
)
-
IFERROR(
  _xlfn.XLOOKUP(
    $P37,
    _xlfn.DROP(_xlfn.TAKE(_xlfn.ANCHORARRAY($P$11),,1),1),
    _xlfn.XLOOKUP(
      U$34,
      _xlfn.DROP(_xlfn.TAKE(_xlfn.ANCHORARRAY($P$11),1),,1),
      _xlfn.DROP(_xlfn.ANCHORARRAY($P$11),1,1)
    )
  ),
  0
)</f>
        <v>2786.6800000000003</v>
      </c>
      <c r="V37" s="3" cm="1">
        <f t="array" ref="V37">IFERROR(
  _xlfn.XLOOKUP(
    $P37,
    _xlfn.DROP(_xlfn.TAKE(_xlfn.ANCHORARRAY($P$19),,1),1),
    _xlfn.XLOOKUP(
      V$34,
      _xlfn.DROP(_xlfn.TAKE(_xlfn.ANCHORARRAY($P$19),1),,1),
      _xlfn.DROP(_xlfn.ANCHORARRAY($P$19),1,1)
    )
  ),
  0
)
-
IFERROR(
  _xlfn.XLOOKUP(
    $P37,
    _xlfn.DROP(_xlfn.TAKE(_xlfn.ANCHORARRAY($P$3),,1),1),
    _xlfn.XLOOKUP(
      V$34,
      _xlfn.DROP(_xlfn.TAKE(_xlfn.ANCHORARRAY($P$3),1),,1),
      _xlfn.DROP(_xlfn.ANCHORARRAY($P$3),1,1)
    )
  ),
  0
)
-
IFERROR(
  _xlfn.XLOOKUP(
    $P37,
    _xlfn.DROP(_xlfn.TAKE(_xlfn.ANCHORARRAY($P$11),,1),1),
    _xlfn.XLOOKUP(
      V$34,
      _xlfn.DROP(_xlfn.TAKE(_xlfn.ANCHORARRAY($P$11),1),,1),
      _xlfn.DROP(_xlfn.ANCHORARRAY($P$11),1,1)
    )
  ),
  0
)</f>
        <v>2920</v>
      </c>
      <c r="W37" s="3" cm="1">
        <f t="array" ref="W37">IFERROR(
  _xlfn.XLOOKUP(
    $P37,
    _xlfn.DROP(_xlfn.TAKE(_xlfn.ANCHORARRAY($P$19),,1),1),
    _xlfn.XLOOKUP(
      W$34,
      _xlfn.DROP(_xlfn.TAKE(_xlfn.ANCHORARRAY($P$19),1),,1),
      _xlfn.DROP(_xlfn.ANCHORARRAY($P$19),1,1)
    )
  ),
  0
)
-
IFERROR(
  _xlfn.XLOOKUP(
    $P37,
    _xlfn.DROP(_xlfn.TAKE(_xlfn.ANCHORARRAY($P$3),,1),1),
    _xlfn.XLOOKUP(
      W$34,
      _xlfn.DROP(_xlfn.TAKE(_xlfn.ANCHORARRAY($P$3),1),,1),
      _xlfn.DROP(_xlfn.ANCHORARRAY($P$3),1,1)
    )
  ),
  0
)
-
IFERROR(
  _xlfn.XLOOKUP(
    $P37,
    _xlfn.DROP(_xlfn.TAKE(_xlfn.ANCHORARRAY($P$11),,1),1),
    _xlfn.XLOOKUP(
      W$34,
      _xlfn.DROP(_xlfn.TAKE(_xlfn.ANCHORARRAY($P$11),1),,1),
      _xlfn.DROP(_xlfn.ANCHORARRAY($P$11),1,1)
    )
  ),
  0
)</f>
        <v>0</v>
      </c>
    </row>
    <row r="38" spans="2:23" x14ac:dyDescent="0.2">
      <c r="B38" s="34" t="s">
        <v>261</v>
      </c>
      <c r="D38" s="3">
        <f>AVERAGE(Pivots!C41:'Pivots'!K41)</f>
        <v>300.16669999999999</v>
      </c>
      <c r="P38" s="6" t="str">
        <v>Jacques</v>
      </c>
      <c r="Q38" s="3" cm="1">
        <f t="array" ref="Q38">IFERROR(
  _xlfn.XLOOKUP(
    $P38,
    _xlfn.DROP(_xlfn.TAKE(_xlfn.ANCHORARRAY($P$19),,1),1),
    _xlfn.XLOOKUP(
      Q$34,
      _xlfn.DROP(_xlfn.TAKE(_xlfn.ANCHORARRAY($P$19),1),,1),
      _xlfn.DROP(_xlfn.ANCHORARRAY($P$19),1,1)
    )
  ),
  0
)
-
IFERROR(
  _xlfn.XLOOKUP(
    $P38,
    _xlfn.DROP(_xlfn.TAKE(_xlfn.ANCHORARRAY($P$3),,1),1),
    _xlfn.XLOOKUP(
      Q$34,
      _xlfn.DROP(_xlfn.TAKE(_xlfn.ANCHORARRAY($P$3),1),,1),
      _xlfn.DROP(_xlfn.ANCHORARRAY($P$3),1,1)
    )
  ),
  0
)
-
IFERROR(
  _xlfn.XLOOKUP(
    $P38,
    _xlfn.DROP(_xlfn.TAKE(_xlfn.ANCHORARRAY($P$11),,1),1),
    _xlfn.XLOOKUP(
      Q$34,
      _xlfn.DROP(_xlfn.TAKE(_xlfn.ANCHORARRAY($P$11),1),,1),
      _xlfn.DROP(_xlfn.ANCHORARRAY($P$11),1,1)
    )
  ),
  0
)</f>
        <v>5000</v>
      </c>
      <c r="R38" s="3" cm="1">
        <f t="array" ref="R38">IFERROR(
  _xlfn.XLOOKUP(
    $P38,
    _xlfn.DROP(_xlfn.TAKE(_xlfn.ANCHORARRAY($P$19),,1),1),
    _xlfn.XLOOKUP(
      R$34,
      _xlfn.DROP(_xlfn.TAKE(_xlfn.ANCHORARRAY($P$19),1),,1),
      _xlfn.DROP(_xlfn.ANCHORARRAY($P$19),1,1)
    )
  ),
  0
)
-
IFERROR(
  _xlfn.XLOOKUP(
    $P38,
    _xlfn.DROP(_xlfn.TAKE(_xlfn.ANCHORARRAY($P$3),,1),1),
    _xlfn.XLOOKUP(
      R$34,
      _xlfn.DROP(_xlfn.TAKE(_xlfn.ANCHORARRAY($P$3),1),,1),
      _xlfn.DROP(_xlfn.ANCHORARRAY($P$3),1,1)
    )
  ),
  0
)
-
IFERROR(
  _xlfn.XLOOKUP(
    $P38,
    _xlfn.DROP(_xlfn.TAKE(_xlfn.ANCHORARRAY($P$11),,1),1),
    _xlfn.XLOOKUP(
      R$34,
      _xlfn.DROP(_xlfn.TAKE(_xlfn.ANCHORARRAY($P$11),1),,1),
      _xlfn.DROP(_xlfn.ANCHORARRAY($P$11),1,1)
    )
  ),
  0
)</f>
        <v>3806.04</v>
      </c>
      <c r="S38" s="3" cm="1">
        <f t="array" ref="S38">IFERROR(
  _xlfn.XLOOKUP(
    $P38,
    _xlfn.DROP(_xlfn.TAKE(_xlfn.ANCHORARRAY($P$19),,1),1),
    _xlfn.XLOOKUP(
      S$34,
      _xlfn.DROP(_xlfn.TAKE(_xlfn.ANCHORARRAY($P$19),1),,1),
      _xlfn.DROP(_xlfn.ANCHORARRAY($P$19),1,1)
    )
  ),
  0
)
-
IFERROR(
  _xlfn.XLOOKUP(
    $P38,
    _xlfn.DROP(_xlfn.TAKE(_xlfn.ANCHORARRAY($P$3),,1),1),
    _xlfn.XLOOKUP(
      S$34,
      _xlfn.DROP(_xlfn.TAKE(_xlfn.ANCHORARRAY($P$3),1),,1),
      _xlfn.DROP(_xlfn.ANCHORARRAY($P$3),1,1)
    )
  ),
  0
)
-
IFERROR(
  _xlfn.XLOOKUP(
    $P38,
    _xlfn.DROP(_xlfn.TAKE(_xlfn.ANCHORARRAY($P$11),,1),1),
    _xlfn.XLOOKUP(
      S$34,
      _xlfn.DROP(_xlfn.TAKE(_xlfn.ANCHORARRAY($P$11),1),,1),
      _xlfn.DROP(_xlfn.ANCHORARRAY($P$11),1,1)
    )
  ),
  0
)</f>
        <v>20618.09</v>
      </c>
      <c r="T38" s="3" cm="1">
        <f t="array" ref="T38">IFERROR(
  _xlfn.XLOOKUP(
    $P38,
    _xlfn.DROP(_xlfn.TAKE(_xlfn.ANCHORARRAY($P$19),,1),1),
    _xlfn.XLOOKUP(
      T$34,
      _xlfn.DROP(_xlfn.TAKE(_xlfn.ANCHORARRAY($P$19),1),,1),
      _xlfn.DROP(_xlfn.ANCHORARRAY($P$19),1,1)
    )
  ),
  0
)
-
IFERROR(
  _xlfn.XLOOKUP(
    $P38,
    _xlfn.DROP(_xlfn.TAKE(_xlfn.ANCHORARRAY($P$3),,1),1),
    _xlfn.XLOOKUP(
      T$34,
      _xlfn.DROP(_xlfn.TAKE(_xlfn.ANCHORARRAY($P$3),1),,1),
      _xlfn.DROP(_xlfn.ANCHORARRAY($P$3),1,1)
    )
  ),
  0
)
-
IFERROR(
  _xlfn.XLOOKUP(
    $P38,
    _xlfn.DROP(_xlfn.TAKE(_xlfn.ANCHORARRAY($P$11),,1),1),
    _xlfn.XLOOKUP(
      T$34,
      _xlfn.DROP(_xlfn.TAKE(_xlfn.ANCHORARRAY($P$11),1),,1),
      _xlfn.DROP(_xlfn.ANCHORARRAY($P$11),1,1)
    )
  ),
  0
)</f>
        <v>12432.27</v>
      </c>
      <c r="U38" s="3" cm="1">
        <f t="array" ref="U38">IFERROR(
  _xlfn.XLOOKUP(
    $P38,
    _xlfn.DROP(_xlfn.TAKE(_xlfn.ANCHORARRAY($P$19),,1),1),
    _xlfn.XLOOKUP(
      U$34,
      _xlfn.DROP(_xlfn.TAKE(_xlfn.ANCHORARRAY($P$19),1),,1),
      _xlfn.DROP(_xlfn.ANCHORARRAY($P$19),1,1)
    )
  ),
  0
)
-
IFERROR(
  _xlfn.XLOOKUP(
    $P38,
    _xlfn.DROP(_xlfn.TAKE(_xlfn.ANCHORARRAY($P$3),,1),1),
    _xlfn.XLOOKUP(
      U$34,
      _xlfn.DROP(_xlfn.TAKE(_xlfn.ANCHORARRAY($P$3),1),,1),
      _xlfn.DROP(_xlfn.ANCHORARRAY($P$3),1,1)
    )
  ),
  0
)
-
IFERROR(
  _xlfn.XLOOKUP(
    $P38,
    _xlfn.DROP(_xlfn.TAKE(_xlfn.ANCHORARRAY($P$11),,1),1),
    _xlfn.XLOOKUP(
      U$34,
      _xlfn.DROP(_xlfn.TAKE(_xlfn.ANCHORARRAY($P$11),1),,1),
      _xlfn.DROP(_xlfn.ANCHORARRAY($P$11),1,1)
    )
  ),
  0
)</f>
        <v>19215.701784210607</v>
      </c>
      <c r="V38" s="3" cm="1">
        <f t="array" ref="V38">IFERROR(
  _xlfn.XLOOKUP(
    $P38,
    _xlfn.DROP(_xlfn.TAKE(_xlfn.ANCHORARRAY($P$19),,1),1),
    _xlfn.XLOOKUP(
      V$34,
      _xlfn.DROP(_xlfn.TAKE(_xlfn.ANCHORARRAY($P$19),1),,1),
      _xlfn.DROP(_xlfn.ANCHORARRAY($P$19),1,1)
    )
  ),
  0
)
-
IFERROR(
  _xlfn.XLOOKUP(
    $P38,
    _xlfn.DROP(_xlfn.TAKE(_xlfn.ANCHORARRAY($P$3),,1),1),
    _xlfn.XLOOKUP(
      V$34,
      _xlfn.DROP(_xlfn.TAKE(_xlfn.ANCHORARRAY($P$3),1),,1),
      _xlfn.DROP(_xlfn.ANCHORARRAY($P$3),1,1)
    )
  ),
  0
)
-
IFERROR(
  _xlfn.XLOOKUP(
    $P38,
    _xlfn.DROP(_xlfn.TAKE(_xlfn.ANCHORARRAY($P$11),,1),1),
    _xlfn.XLOOKUP(
      V$34,
      _xlfn.DROP(_xlfn.TAKE(_xlfn.ANCHORARRAY($P$11),1),,1),
      _xlfn.DROP(_xlfn.ANCHORARRAY($P$11),1,1)
    )
  ),
  0
)</f>
        <v>-1337</v>
      </c>
      <c r="W38" s="3" cm="1">
        <f t="array" ref="W38">IFERROR(
  _xlfn.XLOOKUP(
    $P38,
    _xlfn.DROP(_xlfn.TAKE(_xlfn.ANCHORARRAY($P$19),,1),1),
    _xlfn.XLOOKUP(
      W$34,
      _xlfn.DROP(_xlfn.TAKE(_xlfn.ANCHORARRAY($P$19),1),,1),
      _xlfn.DROP(_xlfn.ANCHORARRAY($P$19),1,1)
    )
  ),
  0
)
-
IFERROR(
  _xlfn.XLOOKUP(
    $P38,
    _xlfn.DROP(_xlfn.TAKE(_xlfn.ANCHORARRAY($P$3),,1),1),
    _xlfn.XLOOKUP(
      W$34,
      _xlfn.DROP(_xlfn.TAKE(_xlfn.ANCHORARRAY($P$3),1),,1),
      _xlfn.DROP(_xlfn.ANCHORARRAY($P$3),1,1)
    )
  ),
  0
)
-
IFERROR(
  _xlfn.XLOOKUP(
    $P38,
    _xlfn.DROP(_xlfn.TAKE(_xlfn.ANCHORARRAY($P$11),,1),1),
    _xlfn.XLOOKUP(
      W$34,
      _xlfn.DROP(_xlfn.TAKE(_xlfn.ANCHORARRAY($P$11),1),,1),
      _xlfn.DROP(_xlfn.ANCHORARRAY($P$11),1,1)
    )
  ),
  0
)</f>
        <v>0</v>
      </c>
    </row>
    <row r="39" spans="2:23" x14ac:dyDescent="0.2">
      <c r="B39" s="34" t="s">
        <v>292</v>
      </c>
      <c r="D39" s="2">
        <f>D38/12</f>
        <v>25.013891666666666</v>
      </c>
      <c r="P39" s="6" t="str">
        <v>Vu Tien</v>
      </c>
      <c r="Q39" s="3" cm="1">
        <f t="array" ref="Q39">IFERROR(
  _xlfn.XLOOKUP(
    $P39,
    _xlfn.DROP(_xlfn.TAKE(_xlfn.ANCHORARRAY($P$19),,1),1),
    _xlfn.XLOOKUP(
      Q$34,
      _xlfn.DROP(_xlfn.TAKE(_xlfn.ANCHORARRAY($P$19),1),,1),
      _xlfn.DROP(_xlfn.ANCHORARRAY($P$19),1,1)
    )
  ),
  0
)
-
IFERROR(
  _xlfn.XLOOKUP(
    $P39,
    _xlfn.DROP(_xlfn.TAKE(_xlfn.ANCHORARRAY($P$3),,1),1),
    _xlfn.XLOOKUP(
      Q$34,
      _xlfn.DROP(_xlfn.TAKE(_xlfn.ANCHORARRAY($P$3),1),,1),
      _xlfn.DROP(_xlfn.ANCHORARRAY($P$3),1,1)
    )
  ),
  0
)
-
IFERROR(
  _xlfn.XLOOKUP(
    $P39,
    _xlfn.DROP(_xlfn.TAKE(_xlfn.ANCHORARRAY($P$11),,1),1),
    _xlfn.XLOOKUP(
      Q$34,
      _xlfn.DROP(_xlfn.TAKE(_xlfn.ANCHORARRAY($P$11),1),,1),
      _xlfn.DROP(_xlfn.ANCHORARRAY($P$11),1,1)
    )
  ),
  0
)</f>
        <v>25801.574906714304</v>
      </c>
      <c r="R39" s="3" cm="1">
        <f t="array" ref="R39">IFERROR(
  _xlfn.XLOOKUP(
    $P39,
    _xlfn.DROP(_xlfn.TAKE(_xlfn.ANCHORARRAY($P$19),,1),1),
    _xlfn.XLOOKUP(
      R$34,
      _xlfn.DROP(_xlfn.TAKE(_xlfn.ANCHORARRAY($P$19),1),,1),
      _xlfn.DROP(_xlfn.ANCHORARRAY($P$19),1,1)
    )
  ),
  0
)
-
IFERROR(
  _xlfn.XLOOKUP(
    $P39,
    _xlfn.DROP(_xlfn.TAKE(_xlfn.ANCHORARRAY($P$3),,1),1),
    _xlfn.XLOOKUP(
      R$34,
      _xlfn.DROP(_xlfn.TAKE(_xlfn.ANCHORARRAY($P$3),1),,1),
      _xlfn.DROP(_xlfn.ANCHORARRAY($P$3),1,1)
    )
  ),
  0
)
-
IFERROR(
  _xlfn.XLOOKUP(
    $P39,
    _xlfn.DROP(_xlfn.TAKE(_xlfn.ANCHORARRAY($P$11),,1),1),
    _xlfn.XLOOKUP(
      R$34,
      _xlfn.DROP(_xlfn.TAKE(_xlfn.ANCHORARRAY($P$11),1),,1),
      _xlfn.DROP(_xlfn.ANCHORARRAY($P$11),1,1)
    )
  ),
  0
)</f>
        <v>13944.369999999992</v>
      </c>
      <c r="S39" s="3" cm="1">
        <f t="array" ref="S39">IFERROR(
  _xlfn.XLOOKUP(
    $P39,
    _xlfn.DROP(_xlfn.TAKE(_xlfn.ANCHORARRAY($P$19),,1),1),
    _xlfn.XLOOKUP(
      S$34,
      _xlfn.DROP(_xlfn.TAKE(_xlfn.ANCHORARRAY($P$19),1),,1),
      _xlfn.DROP(_xlfn.ANCHORARRAY($P$19),1,1)
    )
  ),
  0
)
-
IFERROR(
  _xlfn.XLOOKUP(
    $P39,
    _xlfn.DROP(_xlfn.TAKE(_xlfn.ANCHORARRAY($P$3),,1),1),
    _xlfn.XLOOKUP(
      S$34,
      _xlfn.DROP(_xlfn.TAKE(_xlfn.ANCHORARRAY($P$3),1),,1),
      _xlfn.DROP(_xlfn.ANCHORARRAY($P$3),1,1)
    )
  ),
  0
)
-
IFERROR(
  _xlfn.XLOOKUP(
    $P39,
    _xlfn.DROP(_xlfn.TAKE(_xlfn.ANCHORARRAY($P$11),,1),1),
    _xlfn.XLOOKUP(
      S$34,
      _xlfn.DROP(_xlfn.TAKE(_xlfn.ANCHORARRAY($P$11),1),,1),
      _xlfn.DROP(_xlfn.ANCHORARRAY($P$11),1,1)
    )
  ),
  0
)</f>
        <v>36586.786410256274</v>
      </c>
      <c r="T39" s="3" cm="1">
        <f t="array" ref="T39">IFERROR(
  _xlfn.XLOOKUP(
    $P39,
    _xlfn.DROP(_xlfn.TAKE(_xlfn.ANCHORARRAY($P$19),,1),1),
    _xlfn.XLOOKUP(
      T$34,
      _xlfn.DROP(_xlfn.TAKE(_xlfn.ANCHORARRAY($P$19),1),,1),
      _xlfn.DROP(_xlfn.ANCHORARRAY($P$19),1,1)
    )
  ),
  0
)
-
IFERROR(
  _xlfn.XLOOKUP(
    $P39,
    _xlfn.DROP(_xlfn.TAKE(_xlfn.ANCHORARRAY($P$3),,1),1),
    _xlfn.XLOOKUP(
      T$34,
      _xlfn.DROP(_xlfn.TAKE(_xlfn.ANCHORARRAY($P$3),1),,1),
      _xlfn.DROP(_xlfn.ANCHORARRAY($P$3),1,1)
    )
  ),
  0
)
-
IFERROR(
  _xlfn.XLOOKUP(
    $P39,
    _xlfn.DROP(_xlfn.TAKE(_xlfn.ANCHORARRAY($P$11),,1),1),
    _xlfn.XLOOKUP(
      T$34,
      _xlfn.DROP(_xlfn.TAKE(_xlfn.ANCHORARRAY($P$11),1),,1),
      _xlfn.DROP(_xlfn.ANCHORARRAY($P$11),1,1)
    )
  ),
  0
)</f>
        <v>30849.142530120695</v>
      </c>
      <c r="U39" s="3" cm="1">
        <f t="array" ref="U39">IFERROR(
  _xlfn.XLOOKUP(
    $P39,
    _xlfn.DROP(_xlfn.TAKE(_xlfn.ANCHORARRAY($P$19),,1),1),
    _xlfn.XLOOKUP(
      U$34,
      _xlfn.DROP(_xlfn.TAKE(_xlfn.ANCHORARRAY($P$19),1),,1),
      _xlfn.DROP(_xlfn.ANCHORARRAY($P$19),1,1)
    )
  ),
  0
)
-
IFERROR(
  _xlfn.XLOOKUP(
    $P39,
    _xlfn.DROP(_xlfn.TAKE(_xlfn.ANCHORARRAY($P$3),,1),1),
    _xlfn.XLOOKUP(
      U$34,
      _xlfn.DROP(_xlfn.TAKE(_xlfn.ANCHORARRAY($P$3),1),,1),
      _xlfn.DROP(_xlfn.ANCHORARRAY($P$3),1,1)
    )
  ),
  0
)
-
IFERROR(
  _xlfn.XLOOKUP(
    $P39,
    _xlfn.DROP(_xlfn.TAKE(_xlfn.ANCHORARRAY($P$11),,1),1),
    _xlfn.XLOOKUP(
      U$34,
      _xlfn.DROP(_xlfn.TAKE(_xlfn.ANCHORARRAY($P$11),1),,1),
      _xlfn.DROP(_xlfn.ANCHORARRAY($P$11),1,1)
    )
  ),
  0
)</f>
        <v>41193.401615789386</v>
      </c>
      <c r="V39" s="3" cm="1">
        <f t="array" ref="V39">IFERROR(
  _xlfn.XLOOKUP(
    $P39,
    _xlfn.DROP(_xlfn.TAKE(_xlfn.ANCHORARRAY($P$19),,1),1),
    _xlfn.XLOOKUP(
      V$34,
      _xlfn.DROP(_xlfn.TAKE(_xlfn.ANCHORARRAY($P$19),1),,1),
      _xlfn.DROP(_xlfn.ANCHORARRAY($P$19),1,1)
    )
  ),
  0
)
-
IFERROR(
  _xlfn.XLOOKUP(
    $P39,
    _xlfn.DROP(_xlfn.TAKE(_xlfn.ANCHORARRAY($P$3),,1),1),
    _xlfn.XLOOKUP(
      V$34,
      _xlfn.DROP(_xlfn.TAKE(_xlfn.ANCHORARRAY($P$3),1),,1),
      _xlfn.DROP(_xlfn.ANCHORARRAY($P$3),1,1)
    )
  ),
  0
)
-
IFERROR(
  _xlfn.XLOOKUP(
    $P39,
    _xlfn.DROP(_xlfn.TAKE(_xlfn.ANCHORARRAY($P$11),,1),1),
    _xlfn.XLOOKUP(
      V$34,
      _xlfn.DROP(_xlfn.TAKE(_xlfn.ANCHORARRAY($P$11),1),,1),
      _xlfn.DROP(_xlfn.ANCHORARRAY($P$11),1,1)
    )
  ),
  0
)</f>
        <v>34211.451999999997</v>
      </c>
      <c r="W39" s="3" cm="1">
        <f t="array" ref="W39">IFERROR(
  _xlfn.XLOOKUP(
    $P39,
    _xlfn.DROP(_xlfn.TAKE(_xlfn.ANCHORARRAY($P$19),,1),1),
    _xlfn.XLOOKUP(
      W$34,
      _xlfn.DROP(_xlfn.TAKE(_xlfn.ANCHORARRAY($P$19),1),,1),
      _xlfn.DROP(_xlfn.ANCHORARRAY($P$19),1,1)
    )
  ),
  0
)
-
IFERROR(
  _xlfn.XLOOKUP(
    $P39,
    _xlfn.DROP(_xlfn.TAKE(_xlfn.ANCHORARRAY($P$3),,1),1),
    _xlfn.XLOOKUP(
      W$34,
      _xlfn.DROP(_xlfn.TAKE(_xlfn.ANCHORARRAY($P$3),1),,1),
      _xlfn.DROP(_xlfn.ANCHORARRAY($P$3),1,1)
    )
  ),
  0
)
-
IFERROR(
  _xlfn.XLOOKUP(
    $P39,
    _xlfn.DROP(_xlfn.TAKE(_xlfn.ANCHORARRAY($P$11),,1),1),
    _xlfn.XLOOKUP(
      W$34,
      _xlfn.DROP(_xlfn.TAKE(_xlfn.ANCHORARRAY($P$11),1),,1),
      _xlfn.DROP(_xlfn.ANCHORARRAY($P$11),1,1)
    )
  ),
  0
)</f>
        <v>2999.0698378316042</v>
      </c>
    </row>
  </sheetData>
  <mergeCells count="1">
    <mergeCell ref="E3:K3"/>
  </mergeCells>
  <conditionalFormatting sqref="Q35:W39">
    <cfRule type="cellIs" dxfId="3" priority="1" operator="lessThan">
      <formula>0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C59A-0B24-3C47-B1E8-AC7665F0B7A5}">
  <dimension ref="A1:T491"/>
  <sheetViews>
    <sheetView zoomScale="120" zoomScaleNormal="120" workbookViewId="0">
      <pane xSplit="3" ySplit="1" topLeftCell="D2" activePane="bottomRight" state="frozenSplit"/>
      <selection pane="topRight" activeCell="E1" sqref="E1"/>
      <selection pane="bottomLeft" activeCell="A30" sqref="A30"/>
      <selection pane="bottomRight" activeCell="A21" sqref="A21:J21"/>
    </sheetView>
  </sheetViews>
  <sheetFormatPr baseColWidth="10" defaultRowHeight="16" x14ac:dyDescent="0.2"/>
  <cols>
    <col min="1" max="1" width="12" style="1" customWidth="1"/>
    <col min="2" max="2" width="55.5" customWidth="1"/>
    <col min="3" max="3" width="39.6640625" customWidth="1"/>
    <col min="4" max="4" width="27.6640625" customWidth="1"/>
    <col min="5" max="5" width="13.6640625" style="1" bestFit="1" customWidth="1"/>
    <col min="8" max="8" width="8.33203125" customWidth="1"/>
    <col min="9" max="9" width="13.33203125" bestFit="1" customWidth="1"/>
    <col min="10" max="10" width="7" style="1" customWidth="1"/>
    <col min="11" max="11" width="10.5" bestFit="1" customWidth="1"/>
    <col min="12" max="12" width="10.5" customWidth="1"/>
    <col min="13" max="13" width="10.5" style="38" customWidth="1"/>
    <col min="14" max="14" width="13.1640625" style="1" bestFit="1" customWidth="1"/>
    <col min="15" max="15" width="12.1640625" customWidth="1"/>
    <col min="16" max="16" width="14.33203125" bestFit="1" customWidth="1"/>
    <col min="20" max="20" width="9" style="38" bestFit="1" customWidth="1"/>
  </cols>
  <sheetData>
    <row r="1" spans="1:20" x14ac:dyDescent="0.2">
      <c r="A1" s="71" t="s">
        <v>1</v>
      </c>
      <c r="B1" s="72" t="s">
        <v>79</v>
      </c>
      <c r="C1" s="72" t="s">
        <v>73</v>
      </c>
      <c r="D1" s="72" t="s">
        <v>74</v>
      </c>
      <c r="E1" s="71" t="s">
        <v>146</v>
      </c>
      <c r="F1" s="71" t="s">
        <v>173</v>
      </c>
      <c r="G1" s="72" t="s">
        <v>219</v>
      </c>
      <c r="H1" s="72" t="s">
        <v>223</v>
      </c>
      <c r="I1" s="72" t="s">
        <v>76</v>
      </c>
      <c r="J1" s="71" t="s">
        <v>75</v>
      </c>
      <c r="K1" t="s">
        <v>118</v>
      </c>
      <c r="L1" s="1" t="s">
        <v>147</v>
      </c>
      <c r="M1" t="s">
        <v>77</v>
      </c>
      <c r="N1" t="s">
        <v>216</v>
      </c>
      <c r="T1"/>
    </row>
    <row r="2" spans="1:20" x14ac:dyDescent="0.2">
      <c r="A2" s="74">
        <v>43109</v>
      </c>
      <c r="B2" s="68" t="s">
        <v>24</v>
      </c>
      <c r="C2" s="68" t="s">
        <v>2</v>
      </c>
      <c r="D2" s="68" t="s">
        <v>95</v>
      </c>
      <c r="E2" s="69">
        <v>0</v>
      </c>
      <c r="F2" s="69" t="s">
        <v>112</v>
      </c>
      <c r="G2" s="70" t="s">
        <v>112</v>
      </c>
      <c r="H2" s="70"/>
      <c r="I2" s="70"/>
      <c r="J2" s="94"/>
      <c r="K2" s="1">
        <f>YEAR(tblExpenses[[#This Row],[Date]])</f>
        <v>2018</v>
      </c>
      <c r="L2" s="1" t="str">
        <f>LEFT(tblExpenses[[#This Row],[Category]],1)</f>
        <v>F</v>
      </c>
      <c r="M2" s="25">
        <f>tblExpenses[[#This Row],[VATRate]]*tblExpenses[[#This Row],[HTAmount]]</f>
        <v>0</v>
      </c>
      <c r="N2" s="25">
        <f>tblExpenses[[#This Row],[VATAmount]]+tblExpenses[[#This Row],[HTAmount]]</f>
        <v>0</v>
      </c>
      <c r="T2"/>
    </row>
    <row r="3" spans="1:20" x14ac:dyDescent="0.2">
      <c r="A3" s="74">
        <v>43218</v>
      </c>
      <c r="B3" s="68" t="s">
        <v>64</v>
      </c>
      <c r="C3" s="68" t="s">
        <v>131</v>
      </c>
      <c r="D3" s="68" t="s">
        <v>207</v>
      </c>
      <c r="E3" s="69">
        <v>0.25</v>
      </c>
      <c r="F3" s="69" t="s">
        <v>112</v>
      </c>
      <c r="G3" s="70" t="s">
        <v>112</v>
      </c>
      <c r="H3" s="70"/>
      <c r="I3" s="70"/>
      <c r="J3" s="94">
        <v>0.17</v>
      </c>
      <c r="K3" s="1">
        <f>YEAR(tblExpenses[[#This Row],[Date]])</f>
        <v>2018</v>
      </c>
      <c r="L3" s="1" t="str">
        <f>LEFT(tblExpenses[[#This Row],[Category]],1)</f>
        <v>F</v>
      </c>
      <c r="M3" s="25">
        <f>tblExpenses[[#This Row],[VATRate]]*tblExpenses[[#This Row],[HTAmount]]</f>
        <v>0</v>
      </c>
      <c r="N3" s="25">
        <f>tblExpenses[[#This Row],[VATAmount]]+tblExpenses[[#This Row],[HTAmount]]</f>
        <v>0</v>
      </c>
      <c r="T3"/>
    </row>
    <row r="4" spans="1:20" x14ac:dyDescent="0.2">
      <c r="A4" s="74">
        <v>43395</v>
      </c>
      <c r="B4" s="68" t="s">
        <v>53</v>
      </c>
      <c r="C4" s="68" t="s">
        <v>25</v>
      </c>
      <c r="D4" s="68" t="s">
        <v>40</v>
      </c>
      <c r="E4" s="69">
        <v>0</v>
      </c>
      <c r="F4" s="69" t="s">
        <v>112</v>
      </c>
      <c r="G4" s="70" t="s">
        <v>112</v>
      </c>
      <c r="H4" s="70"/>
      <c r="I4" s="70">
        <v>118.97</v>
      </c>
      <c r="J4" s="94">
        <v>0.17</v>
      </c>
      <c r="K4" s="1">
        <f>YEAR(tblExpenses[[#This Row],[Date]])</f>
        <v>2018</v>
      </c>
      <c r="L4" s="1" t="str">
        <f>LEFT(tblExpenses[[#This Row],[Category]],1)</f>
        <v>F</v>
      </c>
      <c r="M4" s="25">
        <f>tblExpenses[[#This Row],[VATRate]]*tblExpenses[[#This Row],[HTAmount]]</f>
        <v>20.224900000000002</v>
      </c>
      <c r="N4" s="25">
        <f>tblExpenses[[#This Row],[VATAmount]]+tblExpenses[[#This Row],[HTAmount]]</f>
        <v>139.19489999999999</v>
      </c>
      <c r="T4"/>
    </row>
    <row r="5" spans="1:20" x14ac:dyDescent="0.2">
      <c r="A5" s="74">
        <v>43426</v>
      </c>
      <c r="B5" s="68" t="s">
        <v>209</v>
      </c>
      <c r="C5" s="68" t="s">
        <v>27</v>
      </c>
      <c r="D5" s="68" t="s">
        <v>207</v>
      </c>
      <c r="E5" s="69">
        <v>3</v>
      </c>
      <c r="F5" s="69" t="s">
        <v>112</v>
      </c>
      <c r="G5" s="70" t="s">
        <v>112</v>
      </c>
      <c r="H5" s="70"/>
      <c r="I5" s="70"/>
      <c r="J5" s="94">
        <v>0.17</v>
      </c>
      <c r="K5" s="1">
        <f>YEAR(tblExpenses[[#This Row],[Date]])</f>
        <v>2018</v>
      </c>
      <c r="L5" s="1" t="str">
        <f>LEFT(tblExpenses[[#This Row],[Category]],1)</f>
        <v>F</v>
      </c>
      <c r="M5" s="25">
        <f>tblExpenses[[#This Row],[VATRate]]*tblExpenses[[#This Row],[HTAmount]]</f>
        <v>0</v>
      </c>
      <c r="N5" s="25">
        <f>tblExpenses[[#This Row],[VATAmount]]+tblExpenses[[#This Row],[HTAmount]]</f>
        <v>0</v>
      </c>
      <c r="T5"/>
    </row>
    <row r="6" spans="1:20" x14ac:dyDescent="0.2">
      <c r="A6" s="74">
        <v>43384</v>
      </c>
      <c r="B6" s="68" t="s">
        <v>26</v>
      </c>
      <c r="C6" s="68" t="s">
        <v>26</v>
      </c>
      <c r="D6" s="68" t="s">
        <v>141</v>
      </c>
      <c r="E6" s="69">
        <v>0</v>
      </c>
      <c r="F6" s="69" t="s">
        <v>114</v>
      </c>
      <c r="G6" s="70" t="s">
        <v>220</v>
      </c>
      <c r="H6" s="70"/>
      <c r="I6" s="70">
        <v>110.1</v>
      </c>
      <c r="J6" s="94">
        <v>0</v>
      </c>
      <c r="K6" s="1">
        <f>YEAR(tblExpenses[[#This Row],[Date]])</f>
        <v>2018</v>
      </c>
      <c r="L6" s="1" t="str">
        <f>LEFT(tblExpenses[[#This Row],[Category]],1)</f>
        <v>V</v>
      </c>
      <c r="M6" s="25">
        <f>tblExpenses[[#This Row],[VATRate]]*tblExpenses[[#This Row],[HTAmount]]</f>
        <v>0</v>
      </c>
      <c r="N6" s="25">
        <f>tblExpenses[[#This Row],[VATAmount]]+tblExpenses[[#This Row],[HTAmount]]</f>
        <v>110.1</v>
      </c>
      <c r="T6"/>
    </row>
    <row r="7" spans="1:20" x14ac:dyDescent="0.2">
      <c r="A7" s="74">
        <v>43515</v>
      </c>
      <c r="B7" s="68" t="s">
        <v>63</v>
      </c>
      <c r="C7" s="68" t="s">
        <v>29</v>
      </c>
      <c r="D7" s="68" t="s">
        <v>40</v>
      </c>
      <c r="E7" s="69">
        <v>0</v>
      </c>
      <c r="F7" s="69" t="s">
        <v>114</v>
      </c>
      <c r="G7" s="70" t="s">
        <v>220</v>
      </c>
      <c r="H7" s="70"/>
      <c r="I7" s="70">
        <v>136</v>
      </c>
      <c r="J7" s="94">
        <v>0.17</v>
      </c>
      <c r="K7" s="1">
        <f>YEAR(tblExpenses[[#This Row],[Date]])</f>
        <v>2019</v>
      </c>
      <c r="L7" s="1" t="str">
        <f>LEFT(tblExpenses[[#This Row],[Category]],1)</f>
        <v>F</v>
      </c>
      <c r="M7" s="25">
        <f>tblExpenses[[#This Row],[VATRate]]*tblExpenses[[#This Row],[HTAmount]]</f>
        <v>23.12</v>
      </c>
      <c r="N7" s="25">
        <f>tblExpenses[[#This Row],[VATAmount]]+tblExpenses[[#This Row],[HTAmount]]</f>
        <v>159.12</v>
      </c>
      <c r="T7"/>
    </row>
    <row r="8" spans="1:20" x14ac:dyDescent="0.2">
      <c r="A8" s="74">
        <v>43801</v>
      </c>
      <c r="B8" s="68" t="s">
        <v>3</v>
      </c>
      <c r="C8" s="68" t="s">
        <v>132</v>
      </c>
      <c r="D8" s="68" t="s">
        <v>139</v>
      </c>
      <c r="E8" s="69">
        <v>0</v>
      </c>
      <c r="F8" s="69" t="s">
        <v>114</v>
      </c>
      <c r="G8" s="70" t="s">
        <v>220</v>
      </c>
      <c r="H8" s="70"/>
      <c r="I8" s="70">
        <v>-20703</v>
      </c>
      <c r="J8" s="94">
        <v>0.17</v>
      </c>
      <c r="K8" s="1">
        <f>YEAR(tblExpenses[[#This Row],[Date]])</f>
        <v>2019</v>
      </c>
      <c r="L8" s="1" t="str">
        <f>LEFT(tblExpenses[[#This Row],[Category]],1)</f>
        <v>X</v>
      </c>
      <c r="M8" s="25">
        <f>tblExpenses[[#This Row],[VATRate]]*tblExpenses[[#This Row],[HTAmount]]</f>
        <v>-3519.51</v>
      </c>
      <c r="N8" s="25">
        <f>tblExpenses[[#This Row],[VATAmount]]+tblExpenses[[#This Row],[HTAmount]]</f>
        <v>-24222.510000000002</v>
      </c>
      <c r="T8"/>
    </row>
    <row r="9" spans="1:20" x14ac:dyDescent="0.2">
      <c r="A9" s="74">
        <v>43832</v>
      </c>
      <c r="B9" s="68" t="s">
        <v>30</v>
      </c>
      <c r="C9" s="68" t="s">
        <v>52</v>
      </c>
      <c r="D9" s="68" t="s">
        <v>23</v>
      </c>
      <c r="E9" s="69">
        <v>0</v>
      </c>
      <c r="F9" s="69" t="s">
        <v>114</v>
      </c>
      <c r="G9" s="70" t="s">
        <v>220</v>
      </c>
      <c r="H9" s="70"/>
      <c r="I9" s="70">
        <v>180</v>
      </c>
      <c r="J9" s="94">
        <v>0.17</v>
      </c>
      <c r="K9" s="120">
        <f>YEAR(tblExpenses[[#This Row],[Date]])</f>
        <v>2020</v>
      </c>
      <c r="L9" s="121" t="str">
        <f>LEFT(tblExpenses[[#This Row],[Category]],1)</f>
        <v>F</v>
      </c>
      <c r="M9" s="25">
        <f>tblExpenses[[#This Row],[VATRate]]*tblExpenses[[#This Row],[HTAmount]]</f>
        <v>30.6</v>
      </c>
      <c r="N9" s="25">
        <f>tblExpenses[[#This Row],[VATAmount]]+tblExpenses[[#This Row],[HTAmount]]</f>
        <v>210.6</v>
      </c>
      <c r="T9"/>
    </row>
    <row r="10" spans="1:20" x14ac:dyDescent="0.2">
      <c r="A10" s="74">
        <v>43832</v>
      </c>
      <c r="B10" s="68" t="s">
        <v>62</v>
      </c>
      <c r="C10" s="68" t="s">
        <v>52</v>
      </c>
      <c r="D10" s="68" t="s">
        <v>19</v>
      </c>
      <c r="E10" s="69">
        <v>0</v>
      </c>
      <c r="F10" s="69" t="s">
        <v>114</v>
      </c>
      <c r="G10" s="70" t="s">
        <v>220</v>
      </c>
      <c r="H10" s="70"/>
      <c r="I10" s="70">
        <v>282.25</v>
      </c>
      <c r="J10" s="94">
        <v>0.17</v>
      </c>
      <c r="K10" s="120">
        <f>YEAR(tblExpenses[[#This Row],[Date]])</f>
        <v>2020</v>
      </c>
      <c r="L10" s="121" t="str">
        <f>LEFT(tblExpenses[[#This Row],[Category]],1)</f>
        <v>F</v>
      </c>
      <c r="M10" s="25">
        <f>tblExpenses[[#This Row],[VATRate]]*tblExpenses[[#This Row],[HTAmount]]</f>
        <v>47.982500000000002</v>
      </c>
      <c r="N10" s="25">
        <f>tblExpenses[[#This Row],[VATAmount]]+tblExpenses[[#This Row],[HTAmount]]</f>
        <v>330.23250000000002</v>
      </c>
      <c r="T10"/>
    </row>
    <row r="11" spans="1:20" x14ac:dyDescent="0.2">
      <c r="A11" s="74">
        <v>43998</v>
      </c>
      <c r="B11" s="68" t="s">
        <v>32</v>
      </c>
      <c r="C11" s="68" t="s">
        <v>32</v>
      </c>
      <c r="D11" s="68" t="s">
        <v>140</v>
      </c>
      <c r="E11" s="69">
        <v>0</v>
      </c>
      <c r="F11" s="69" t="s">
        <v>114</v>
      </c>
      <c r="G11" s="70" t="s">
        <v>220</v>
      </c>
      <c r="H11" s="70"/>
      <c r="I11" s="70"/>
      <c r="J11" s="94"/>
      <c r="K11" s="1">
        <f>YEAR(tblExpenses[[#This Row],[Date]])</f>
        <v>2020</v>
      </c>
      <c r="L11" s="1" t="str">
        <f>LEFT(tblExpenses[[#This Row],[Category]],1)</f>
        <v>X</v>
      </c>
      <c r="M11" s="25">
        <f>tblExpenses[[#This Row],[VATRate]]*tblExpenses[[#This Row],[HTAmount]]</f>
        <v>0</v>
      </c>
      <c r="N11" s="25">
        <f>tblExpenses[[#This Row],[VATAmount]]+tblExpenses[[#This Row],[HTAmount]]</f>
        <v>0</v>
      </c>
      <c r="T11"/>
    </row>
    <row r="12" spans="1:20" x14ac:dyDescent="0.2">
      <c r="A12" s="74">
        <v>44203</v>
      </c>
      <c r="B12" s="68" t="s">
        <v>42</v>
      </c>
      <c r="C12" s="68" t="s">
        <v>33</v>
      </c>
      <c r="D12" s="68" t="s">
        <v>17</v>
      </c>
      <c r="E12" s="69">
        <v>0</v>
      </c>
      <c r="F12" s="69" t="s">
        <v>114</v>
      </c>
      <c r="G12" s="70" t="s">
        <v>220</v>
      </c>
      <c r="H12" s="70"/>
      <c r="I12" s="70">
        <v>13.12</v>
      </c>
      <c r="J12" s="94">
        <v>0.17</v>
      </c>
      <c r="K12" s="1">
        <f>YEAR(tblExpenses[[#This Row],[Date]])</f>
        <v>2021</v>
      </c>
      <c r="L12" s="1" t="str">
        <f>LEFT(tblExpenses[[#This Row],[Category]],1)</f>
        <v>F</v>
      </c>
      <c r="M12" s="25">
        <f>tblExpenses[[#This Row],[VATRate]]*tblExpenses[[#This Row],[HTAmount]]</f>
        <v>2.2303999999999999</v>
      </c>
      <c r="N12" s="25">
        <f>tblExpenses[[#This Row],[VATAmount]]+tblExpenses[[#This Row],[HTAmount]]</f>
        <v>15.350399999999999</v>
      </c>
      <c r="T12"/>
    </row>
    <row r="13" spans="1:20" x14ac:dyDescent="0.2">
      <c r="A13" s="74">
        <v>44260</v>
      </c>
      <c r="B13" s="68" t="s">
        <v>4</v>
      </c>
      <c r="C13" s="68" t="s">
        <v>4</v>
      </c>
      <c r="D13" s="68" t="s">
        <v>95</v>
      </c>
      <c r="E13" s="69">
        <v>0</v>
      </c>
      <c r="F13" s="69" t="s">
        <v>114</v>
      </c>
      <c r="G13" s="70" t="s">
        <v>220</v>
      </c>
      <c r="H13" s="70"/>
      <c r="I13" s="70">
        <v>-265</v>
      </c>
      <c r="J13" s="94">
        <v>0.17</v>
      </c>
      <c r="K13" s="1">
        <f>YEAR(tblExpenses[[#This Row],[Date]])</f>
        <v>2021</v>
      </c>
      <c r="L13" s="1" t="str">
        <f>LEFT(tblExpenses[[#This Row],[Category]],1)</f>
        <v>F</v>
      </c>
      <c r="M13" s="25">
        <f>tblExpenses[[#This Row],[VATRate]]*tblExpenses[[#This Row],[HTAmount]]</f>
        <v>-45.050000000000004</v>
      </c>
      <c r="N13" s="25">
        <f>tblExpenses[[#This Row],[VATAmount]]+tblExpenses[[#This Row],[HTAmount]]</f>
        <v>-310.05</v>
      </c>
      <c r="T13"/>
    </row>
    <row r="14" spans="1:20" x14ac:dyDescent="0.2">
      <c r="A14" s="74">
        <v>44425</v>
      </c>
      <c r="B14" s="68" t="s">
        <v>34</v>
      </c>
      <c r="C14" s="68" t="s">
        <v>34</v>
      </c>
      <c r="D14" s="68" t="s">
        <v>41</v>
      </c>
      <c r="E14" s="69">
        <v>0</v>
      </c>
      <c r="F14" s="69" t="s">
        <v>114</v>
      </c>
      <c r="G14" s="70" t="s">
        <v>220</v>
      </c>
      <c r="H14" s="70"/>
      <c r="I14" s="70">
        <v>393</v>
      </c>
      <c r="J14" s="94">
        <v>0.19</v>
      </c>
      <c r="K14" s="1">
        <f>YEAR(tblExpenses[[#This Row],[Date]])</f>
        <v>2021</v>
      </c>
      <c r="L14" s="1" t="str">
        <f>LEFT(tblExpenses[[#This Row],[Category]],1)</f>
        <v>F</v>
      </c>
      <c r="M14" s="25">
        <f>tblExpenses[[#This Row],[VATRate]]*tblExpenses[[#This Row],[HTAmount]]</f>
        <v>74.67</v>
      </c>
      <c r="N14" s="25">
        <f>tblExpenses[[#This Row],[VATAmount]]+tblExpenses[[#This Row],[HTAmount]]</f>
        <v>467.67</v>
      </c>
      <c r="T14"/>
    </row>
    <row r="15" spans="1:20" x14ac:dyDescent="0.2">
      <c r="A15" s="74">
        <v>44539</v>
      </c>
      <c r="B15" s="68" t="s">
        <v>5</v>
      </c>
      <c r="C15" s="68" t="s">
        <v>5</v>
      </c>
      <c r="D15" s="68" t="s">
        <v>18</v>
      </c>
      <c r="E15" s="69">
        <v>0</v>
      </c>
      <c r="F15" s="69" t="s">
        <v>114</v>
      </c>
      <c r="G15" s="70" t="s">
        <v>220</v>
      </c>
      <c r="H15" s="70"/>
      <c r="I15" s="70"/>
      <c r="J15" s="94"/>
      <c r="K15" s="1">
        <f>YEAR(tblExpenses[[#This Row],[Date]])</f>
        <v>2021</v>
      </c>
      <c r="L15" s="1" t="str">
        <f>LEFT(tblExpenses[[#This Row],[Category]],1)</f>
        <v>F</v>
      </c>
      <c r="M15" s="25">
        <f>tblExpenses[[#This Row],[VATRate]]*tblExpenses[[#This Row],[HTAmount]]</f>
        <v>0</v>
      </c>
      <c r="N15" s="25">
        <f>tblExpenses[[#This Row],[VATAmount]]+tblExpenses[[#This Row],[HTAmount]]</f>
        <v>0</v>
      </c>
      <c r="T15"/>
    </row>
    <row r="16" spans="1:20" x14ac:dyDescent="0.2">
      <c r="A16" s="74">
        <v>44596</v>
      </c>
      <c r="B16" s="68" t="s">
        <v>6</v>
      </c>
      <c r="C16" s="68" t="s">
        <v>6</v>
      </c>
      <c r="D16" s="68" t="s">
        <v>141</v>
      </c>
      <c r="E16" s="69">
        <v>0</v>
      </c>
      <c r="F16" s="69" t="s">
        <v>114</v>
      </c>
      <c r="G16" s="70" t="s">
        <v>220</v>
      </c>
      <c r="H16" s="70"/>
      <c r="I16" s="70"/>
      <c r="J16" s="94"/>
      <c r="K16" s="1">
        <f>YEAR(tblExpenses[[#This Row],[Date]])</f>
        <v>2022</v>
      </c>
      <c r="L16" s="1" t="str">
        <f>LEFT(tblExpenses[[#This Row],[Category]],1)</f>
        <v>V</v>
      </c>
      <c r="M16" s="25">
        <f>tblExpenses[[#This Row],[VATRate]]*tblExpenses[[#This Row],[HTAmount]]</f>
        <v>0</v>
      </c>
      <c r="N16" s="25">
        <f>tblExpenses[[#This Row],[VATAmount]]+tblExpenses[[#This Row],[HTAmount]]</f>
        <v>0</v>
      </c>
      <c r="T16"/>
    </row>
    <row r="17" spans="1:20" x14ac:dyDescent="0.2">
      <c r="A17" s="74">
        <v>44649</v>
      </c>
      <c r="B17" s="68" t="s">
        <v>8</v>
      </c>
      <c r="C17" s="68" t="s">
        <v>8</v>
      </c>
      <c r="D17" s="68" t="s">
        <v>138</v>
      </c>
      <c r="E17" s="69">
        <v>0</v>
      </c>
      <c r="F17" s="69" t="s">
        <v>114</v>
      </c>
      <c r="G17" s="70" t="s">
        <v>220</v>
      </c>
      <c r="H17" s="70"/>
      <c r="I17" s="70">
        <v>120</v>
      </c>
      <c r="J17" s="94">
        <v>0.19</v>
      </c>
      <c r="K17" s="120">
        <f>YEAR(tblExpenses[[#This Row],[Date]])</f>
        <v>2022</v>
      </c>
      <c r="L17" s="121" t="str">
        <f>LEFT(tblExpenses[[#This Row],[Category]],1)</f>
        <v>X</v>
      </c>
      <c r="M17" s="25">
        <f>tblExpenses[[#This Row],[VATRate]]*tblExpenses[[#This Row],[HTAmount]]</f>
        <v>22.8</v>
      </c>
      <c r="N17" s="25">
        <f>tblExpenses[[#This Row],[VATAmount]]+tblExpenses[[#This Row],[HTAmount]]</f>
        <v>142.80000000000001</v>
      </c>
      <c r="T17"/>
    </row>
    <row r="18" spans="1:20" x14ac:dyDescent="0.2">
      <c r="A18" s="74">
        <v>44746</v>
      </c>
      <c r="B18" s="68" t="s">
        <v>7</v>
      </c>
      <c r="C18" s="68" t="s">
        <v>9</v>
      </c>
      <c r="D18" s="68" t="s">
        <v>141</v>
      </c>
      <c r="E18" s="69">
        <v>0</v>
      </c>
      <c r="F18" s="69" t="s">
        <v>114</v>
      </c>
      <c r="G18" s="70" t="s">
        <v>220</v>
      </c>
      <c r="H18" s="70"/>
      <c r="I18" s="70">
        <v>70</v>
      </c>
      <c r="J18" s="94">
        <v>0</v>
      </c>
      <c r="K18" s="1">
        <f>YEAR(tblExpenses[[#This Row],[Date]])</f>
        <v>2022</v>
      </c>
      <c r="L18" s="1" t="str">
        <f>LEFT(tblExpenses[[#This Row],[Category]],1)</f>
        <v>V</v>
      </c>
      <c r="M18" s="25">
        <f>tblExpenses[[#This Row],[VATRate]]*tblExpenses[[#This Row],[HTAmount]]</f>
        <v>0</v>
      </c>
      <c r="N18" s="25">
        <f>tblExpenses[[#This Row],[VATAmount]]+tblExpenses[[#This Row],[HTAmount]]</f>
        <v>70</v>
      </c>
      <c r="T18"/>
    </row>
    <row r="19" spans="1:20" x14ac:dyDescent="0.2">
      <c r="A19" s="74">
        <v>44825</v>
      </c>
      <c r="B19" s="68" t="s">
        <v>61</v>
      </c>
      <c r="C19" s="68" t="s">
        <v>10</v>
      </c>
      <c r="D19" s="68" t="s">
        <v>21</v>
      </c>
      <c r="E19" s="69">
        <v>0</v>
      </c>
      <c r="F19" s="69" t="s">
        <v>114</v>
      </c>
      <c r="G19" s="70" t="s">
        <v>220</v>
      </c>
      <c r="H19" s="70"/>
      <c r="I19" s="70">
        <v>1269</v>
      </c>
      <c r="J19" s="94">
        <v>0.17</v>
      </c>
      <c r="K19" s="1">
        <f>YEAR(tblExpenses[[#This Row],[Date]])</f>
        <v>2022</v>
      </c>
      <c r="L19" s="1" t="str">
        <f>LEFT(tblExpenses[[#This Row],[Category]],1)</f>
        <v>V</v>
      </c>
      <c r="M19" s="25">
        <f>tblExpenses[[#This Row],[VATRate]]*tblExpenses[[#This Row],[HTAmount]]</f>
        <v>215.73000000000002</v>
      </c>
      <c r="N19" s="25">
        <f>tblExpenses[[#This Row],[VATAmount]]+tblExpenses[[#This Row],[HTAmount]]</f>
        <v>1484.73</v>
      </c>
      <c r="T19"/>
    </row>
    <row r="20" spans="1:20" x14ac:dyDescent="0.2">
      <c r="A20" s="74">
        <v>44835</v>
      </c>
      <c r="B20" s="68" t="s">
        <v>11</v>
      </c>
      <c r="C20" s="68" t="s">
        <v>11</v>
      </c>
      <c r="D20" s="68" t="s">
        <v>99</v>
      </c>
      <c r="E20" s="69">
        <v>0</v>
      </c>
      <c r="F20" s="69" t="s">
        <v>114</v>
      </c>
      <c r="G20" s="70" t="s">
        <v>220</v>
      </c>
      <c r="H20" s="70"/>
      <c r="I20" s="70">
        <v>651.37</v>
      </c>
      <c r="J20" s="94">
        <v>0</v>
      </c>
      <c r="K20" s="1">
        <f>YEAR(tblExpenses[[#This Row],[Date]])</f>
        <v>2022</v>
      </c>
      <c r="L20" s="1" t="str">
        <f>LEFT(tblExpenses[[#This Row],[Category]],1)</f>
        <v>F</v>
      </c>
      <c r="M20" s="25">
        <f>tblExpenses[[#This Row],[VATRate]]*tblExpenses[[#This Row],[HTAmount]]</f>
        <v>0</v>
      </c>
      <c r="N20" s="25">
        <f>tblExpenses[[#This Row],[VATAmount]]+tblExpenses[[#This Row],[HTAmount]]</f>
        <v>651.37</v>
      </c>
      <c r="T20"/>
    </row>
    <row r="21" spans="1:20" x14ac:dyDescent="0.2">
      <c r="A21" s="74">
        <v>44959</v>
      </c>
      <c r="B21" s="68" t="s">
        <v>12</v>
      </c>
      <c r="C21" s="68" t="s">
        <v>12</v>
      </c>
      <c r="D21" s="68" t="s">
        <v>142</v>
      </c>
      <c r="E21" s="69">
        <v>0</v>
      </c>
      <c r="F21" s="69" t="s">
        <v>114</v>
      </c>
      <c r="G21" s="70" t="s">
        <v>220</v>
      </c>
      <c r="H21" s="70"/>
      <c r="I21" s="70">
        <v>767.98</v>
      </c>
      <c r="J21" s="94">
        <v>0.17</v>
      </c>
      <c r="K21" s="120">
        <f>YEAR(tblExpenses[[#This Row],[Date]])</f>
        <v>2023</v>
      </c>
      <c r="L21" s="121" t="str">
        <f>LEFT(tblExpenses[[#This Row],[Category]],1)</f>
        <v>X</v>
      </c>
      <c r="M21" s="25">
        <f>tblExpenses[[#This Row],[VATRate]]*tblExpenses[[#This Row],[HTAmount]]</f>
        <v>130.5566</v>
      </c>
      <c r="N21" s="25">
        <f>tblExpenses[[#This Row],[VATAmount]]+tblExpenses[[#This Row],[HTAmount]]</f>
        <v>898.53660000000002</v>
      </c>
      <c r="T21"/>
    </row>
    <row r="22" spans="1:20" x14ac:dyDescent="0.2">
      <c r="A22" s="74">
        <v>44959</v>
      </c>
      <c r="B22" s="68" t="s">
        <v>13</v>
      </c>
      <c r="C22" s="68" t="s">
        <v>13</v>
      </c>
      <c r="D22" s="68" t="s">
        <v>20</v>
      </c>
      <c r="E22" s="69">
        <v>0</v>
      </c>
      <c r="F22" s="69" t="s">
        <v>114</v>
      </c>
      <c r="G22" s="70" t="s">
        <v>220</v>
      </c>
      <c r="H22" s="70"/>
      <c r="I22" s="70">
        <v>97.55</v>
      </c>
      <c r="J22" s="94">
        <v>0</v>
      </c>
      <c r="K22" s="1">
        <f>YEAR(tblExpenses[[#This Row],[Date]])</f>
        <v>2023</v>
      </c>
      <c r="L22" s="1" t="str">
        <f>LEFT(tblExpenses[[#This Row],[Category]],1)</f>
        <v>V</v>
      </c>
      <c r="M22" s="25">
        <f>tblExpenses[[#This Row],[VATRate]]*tblExpenses[[#This Row],[HTAmount]]</f>
        <v>0</v>
      </c>
      <c r="N22" s="25">
        <f>tblExpenses[[#This Row],[VATAmount]]+tblExpenses[[#This Row],[HTAmount]]</f>
        <v>97.55</v>
      </c>
      <c r="T22"/>
    </row>
    <row r="23" spans="1:20" x14ac:dyDescent="0.2">
      <c r="A23" s="74">
        <v>45076</v>
      </c>
      <c r="B23" s="68" t="s">
        <v>14</v>
      </c>
      <c r="C23" s="68" t="s">
        <v>14</v>
      </c>
      <c r="D23" s="68" t="s">
        <v>99</v>
      </c>
      <c r="E23" s="69">
        <v>0</v>
      </c>
      <c r="F23" s="69" t="s">
        <v>114</v>
      </c>
      <c r="G23" s="70" t="s">
        <v>220</v>
      </c>
      <c r="H23" s="70"/>
      <c r="I23" s="70">
        <v>-1737.2</v>
      </c>
      <c r="J23" s="94">
        <v>0</v>
      </c>
      <c r="K23" s="1">
        <f>YEAR(tblExpenses[[#This Row],[Date]])</f>
        <v>2023</v>
      </c>
      <c r="L23" s="1" t="str">
        <f>LEFT(tblExpenses[[#This Row],[Category]],1)</f>
        <v>F</v>
      </c>
      <c r="M23" s="25">
        <f>tblExpenses[[#This Row],[VATRate]]*tblExpenses[[#This Row],[HTAmount]]</f>
        <v>0</v>
      </c>
      <c r="N23" s="25">
        <f>tblExpenses[[#This Row],[VATAmount]]+tblExpenses[[#This Row],[HTAmount]]</f>
        <v>-1737.2</v>
      </c>
      <c r="T23"/>
    </row>
    <row r="24" spans="1:20" x14ac:dyDescent="0.2">
      <c r="A24" s="74">
        <v>45090</v>
      </c>
      <c r="B24" s="68" t="s">
        <v>16</v>
      </c>
      <c r="C24" s="68" t="s">
        <v>15</v>
      </c>
      <c r="D24" s="68" t="s">
        <v>133</v>
      </c>
      <c r="E24" s="69">
        <v>0</v>
      </c>
      <c r="F24" s="69" t="s">
        <v>114</v>
      </c>
      <c r="G24" s="70" t="s">
        <v>220</v>
      </c>
      <c r="H24" s="70"/>
      <c r="I24" s="70">
        <v>65</v>
      </c>
      <c r="J24" s="94">
        <v>0.16</v>
      </c>
      <c r="K24" s="1">
        <f>YEAR(tblExpenses[[#This Row],[Date]])</f>
        <v>2023</v>
      </c>
      <c r="L24" s="1" t="str">
        <f>LEFT(tblExpenses[[#This Row],[Category]],1)</f>
        <v>X</v>
      </c>
      <c r="M24" s="25">
        <f>tblExpenses[[#This Row],[VATRate]]*tblExpenses[[#This Row],[HTAmount]]</f>
        <v>10.4</v>
      </c>
      <c r="N24" s="25">
        <f>tblExpenses[[#This Row],[VATAmount]]+tblExpenses[[#This Row],[HTAmount]]</f>
        <v>75.400000000000006</v>
      </c>
      <c r="T24"/>
    </row>
    <row r="25" spans="1:20" x14ac:dyDescent="0.2">
      <c r="A25" s="74">
        <v>45086</v>
      </c>
      <c r="B25" s="68" t="s">
        <v>38</v>
      </c>
      <c r="C25" s="68" t="s">
        <v>38</v>
      </c>
      <c r="D25" s="68" t="s">
        <v>141</v>
      </c>
      <c r="E25" s="69">
        <v>0</v>
      </c>
      <c r="F25" s="69" t="s">
        <v>114</v>
      </c>
      <c r="G25" s="70" t="s">
        <v>220</v>
      </c>
      <c r="H25" s="70"/>
      <c r="I25" s="70">
        <v>49</v>
      </c>
      <c r="J25" s="94">
        <v>0</v>
      </c>
      <c r="K25" s="1">
        <f>YEAR(tblExpenses[[#This Row],[Date]])</f>
        <v>2023</v>
      </c>
      <c r="L25" s="1" t="str">
        <f>LEFT(tblExpenses[[#This Row],[Category]],1)</f>
        <v>V</v>
      </c>
      <c r="M25" s="25">
        <f>tblExpenses[[#This Row],[VATRate]]*tblExpenses[[#This Row],[HTAmount]]</f>
        <v>0</v>
      </c>
      <c r="N25" s="25">
        <f>tblExpenses[[#This Row],[VATAmount]]+tblExpenses[[#This Row],[HTAmount]]</f>
        <v>49</v>
      </c>
      <c r="T25"/>
    </row>
    <row r="26" spans="1:20" x14ac:dyDescent="0.2">
      <c r="A26" s="74">
        <v>45393</v>
      </c>
      <c r="B26" s="68" t="s">
        <v>60</v>
      </c>
      <c r="C26" s="68" t="s">
        <v>28</v>
      </c>
      <c r="D26" s="68" t="s">
        <v>137</v>
      </c>
      <c r="E26" s="69">
        <v>0</v>
      </c>
      <c r="F26" s="69" t="s">
        <v>114</v>
      </c>
      <c r="G26" s="70" t="s">
        <v>220</v>
      </c>
      <c r="H26" s="70"/>
      <c r="I26" s="70">
        <v>721</v>
      </c>
      <c r="J26" s="94">
        <v>0.17</v>
      </c>
      <c r="K26" s="120">
        <f>YEAR(tblExpenses[[#This Row],[Date]])</f>
        <v>2024</v>
      </c>
      <c r="L26" s="121" t="str">
        <f>LEFT(tblExpenses[[#This Row],[Category]],1)</f>
        <v>X</v>
      </c>
      <c r="M26" s="25">
        <f>tblExpenses[[#This Row],[VATRate]]*tblExpenses[[#This Row],[HTAmount]]</f>
        <v>122.57000000000001</v>
      </c>
      <c r="N26" s="25">
        <f>tblExpenses[[#This Row],[VATAmount]]+tblExpenses[[#This Row],[HTAmount]]</f>
        <v>843.57</v>
      </c>
      <c r="T26"/>
    </row>
    <row r="27" spans="1:20" x14ac:dyDescent="0.2">
      <c r="A27" s="74">
        <v>45393</v>
      </c>
      <c r="B27" s="68" t="s">
        <v>51</v>
      </c>
      <c r="C27" s="68" t="s">
        <v>28</v>
      </c>
      <c r="D27" s="68" t="s">
        <v>20</v>
      </c>
      <c r="E27" s="69">
        <v>0</v>
      </c>
      <c r="F27" s="69" t="s">
        <v>114</v>
      </c>
      <c r="G27" s="70" t="s">
        <v>220</v>
      </c>
      <c r="H27" s="70"/>
      <c r="I27" s="70">
        <v>295.04000000000002</v>
      </c>
      <c r="J27" s="94">
        <v>0.17</v>
      </c>
      <c r="K27" s="1">
        <f>YEAR(tblExpenses[[#This Row],[Date]])</f>
        <v>2024</v>
      </c>
      <c r="L27" s="1" t="str">
        <f>LEFT(tblExpenses[[#This Row],[Category]],1)</f>
        <v>V</v>
      </c>
      <c r="M27" s="25">
        <f>tblExpenses[[#This Row],[VATRate]]*tblExpenses[[#This Row],[HTAmount]]</f>
        <v>50.156800000000004</v>
      </c>
      <c r="N27" s="25">
        <f>tblExpenses[[#This Row],[VATAmount]]+tblExpenses[[#This Row],[HTAmount]]</f>
        <v>345.19680000000005</v>
      </c>
      <c r="T27"/>
    </row>
    <row r="28" spans="1:20" x14ac:dyDescent="0.2">
      <c r="A28" s="74">
        <v>45393</v>
      </c>
      <c r="B28" s="68" t="s">
        <v>58</v>
      </c>
      <c r="C28" s="68" t="s">
        <v>28</v>
      </c>
      <c r="D28" s="68" t="s">
        <v>40</v>
      </c>
      <c r="E28" s="69">
        <v>0</v>
      </c>
      <c r="F28" s="69" t="s">
        <v>114</v>
      </c>
      <c r="G28" s="70" t="s">
        <v>220</v>
      </c>
      <c r="H28" s="70"/>
      <c r="I28" s="70">
        <v>669.5</v>
      </c>
      <c r="J28" s="94">
        <v>0.17</v>
      </c>
      <c r="K28" s="1">
        <f>YEAR(tblExpenses[[#This Row],[Date]])</f>
        <v>2024</v>
      </c>
      <c r="L28" s="1" t="str">
        <f>LEFT(tblExpenses[[#This Row],[Category]],1)</f>
        <v>F</v>
      </c>
      <c r="M28" s="25">
        <f>tblExpenses[[#This Row],[VATRate]]*tblExpenses[[#This Row],[HTAmount]]</f>
        <v>113.81500000000001</v>
      </c>
      <c r="N28" s="25">
        <f>tblExpenses[[#This Row],[VATAmount]]+tblExpenses[[#This Row],[HTAmount]]</f>
        <v>783.31500000000005</v>
      </c>
      <c r="T28"/>
    </row>
    <row r="29" spans="1:20" x14ac:dyDescent="0.2">
      <c r="A29" s="74">
        <v>45393</v>
      </c>
      <c r="B29" s="68" t="s">
        <v>59</v>
      </c>
      <c r="C29" s="68" t="s">
        <v>28</v>
      </c>
      <c r="D29" s="68" t="s">
        <v>21</v>
      </c>
      <c r="E29" s="69">
        <v>0</v>
      </c>
      <c r="F29" s="69" t="s">
        <v>114</v>
      </c>
      <c r="G29" s="70" t="s">
        <v>220</v>
      </c>
      <c r="H29" s="70"/>
      <c r="I29" s="70">
        <v>25.75</v>
      </c>
      <c r="J29" s="94">
        <v>0.17</v>
      </c>
      <c r="K29" s="1">
        <f>YEAR(tblExpenses[[#This Row],[Date]])</f>
        <v>2024</v>
      </c>
      <c r="L29" s="1" t="str">
        <f>LEFT(tblExpenses[[#This Row],[Category]],1)</f>
        <v>V</v>
      </c>
      <c r="M29" s="25">
        <f>tblExpenses[[#This Row],[VATRate]]*tblExpenses[[#This Row],[HTAmount]]</f>
        <v>4.3775000000000004</v>
      </c>
      <c r="N29" s="25">
        <f>tblExpenses[[#This Row],[VATAmount]]+tblExpenses[[#This Row],[HTAmount]]</f>
        <v>30.127500000000001</v>
      </c>
      <c r="T29"/>
    </row>
    <row r="30" spans="1:20" x14ac:dyDescent="0.2">
      <c r="A30" s="74">
        <v>45411</v>
      </c>
      <c r="B30" s="68" t="s">
        <v>38</v>
      </c>
      <c r="C30" s="68" t="s">
        <v>38</v>
      </c>
      <c r="D30" s="68" t="s">
        <v>141</v>
      </c>
      <c r="E30" s="69">
        <v>0</v>
      </c>
      <c r="F30" s="69" t="s">
        <v>114</v>
      </c>
      <c r="G30" s="70" t="s">
        <v>220</v>
      </c>
      <c r="H30" s="70"/>
      <c r="I30" s="70">
        <v>56</v>
      </c>
      <c r="J30" s="94">
        <v>0</v>
      </c>
      <c r="K30" s="1">
        <f>YEAR(tblExpenses[[#This Row],[Date]])</f>
        <v>2024</v>
      </c>
      <c r="L30" s="1" t="str">
        <f>LEFT(tblExpenses[[#This Row],[Category]],1)</f>
        <v>V</v>
      </c>
      <c r="M30" s="25">
        <f>tblExpenses[[#This Row],[VATRate]]*tblExpenses[[#This Row],[HTAmount]]</f>
        <v>0</v>
      </c>
      <c r="N30" s="25">
        <f>tblExpenses[[#This Row],[VATAmount]]+tblExpenses[[#This Row],[HTAmount]]</f>
        <v>56</v>
      </c>
      <c r="T30"/>
    </row>
    <row r="31" spans="1:20" x14ac:dyDescent="0.2">
      <c r="A31" s="74">
        <v>45614</v>
      </c>
      <c r="B31" s="68" t="s">
        <v>46</v>
      </c>
      <c r="C31" s="68" t="s">
        <v>45</v>
      </c>
      <c r="D31" s="68" t="s">
        <v>40</v>
      </c>
      <c r="E31" s="69">
        <v>1.5</v>
      </c>
      <c r="F31" s="69" t="s">
        <v>114</v>
      </c>
      <c r="G31" s="70" t="s">
        <v>220</v>
      </c>
      <c r="H31" s="70"/>
      <c r="I31" s="70">
        <v>128.75</v>
      </c>
      <c r="J31" s="94">
        <v>0.17</v>
      </c>
      <c r="K31" s="1">
        <f>YEAR(tblExpenses[[#This Row],[Date]])</f>
        <v>2024</v>
      </c>
      <c r="L31" s="1" t="str">
        <f>LEFT(tblExpenses[[#This Row],[Category]],1)</f>
        <v>F</v>
      </c>
      <c r="M31" s="25">
        <f>tblExpenses[[#This Row],[VATRate]]*tblExpenses[[#This Row],[HTAmount]]</f>
        <v>21.887500000000003</v>
      </c>
      <c r="N31" s="25">
        <f>tblExpenses[[#This Row],[VATAmount]]+tblExpenses[[#This Row],[HTAmount]]</f>
        <v>150.63749999999999</v>
      </c>
      <c r="T31"/>
    </row>
    <row r="32" spans="1:20" x14ac:dyDescent="0.2">
      <c r="A32" s="74">
        <v>45638</v>
      </c>
      <c r="B32" s="68" t="s">
        <v>56</v>
      </c>
      <c r="C32" s="68" t="s">
        <v>130</v>
      </c>
      <c r="D32" s="68" t="s">
        <v>21</v>
      </c>
      <c r="E32" s="69">
        <v>0</v>
      </c>
      <c r="F32" s="69" t="s">
        <v>114</v>
      </c>
      <c r="G32" s="70" t="s">
        <v>220</v>
      </c>
      <c r="H32" s="70"/>
      <c r="I32" s="70">
        <v>128.75</v>
      </c>
      <c r="J32" s="94">
        <v>0.17</v>
      </c>
      <c r="K32" s="1">
        <f>YEAR(tblExpenses[[#This Row],[Date]])</f>
        <v>2024</v>
      </c>
      <c r="L32" s="1" t="str">
        <f>LEFT(tblExpenses[[#This Row],[Category]],1)</f>
        <v>V</v>
      </c>
      <c r="M32" s="25">
        <f>tblExpenses[[#This Row],[VATRate]]*tblExpenses[[#This Row],[HTAmount]]</f>
        <v>21.887500000000003</v>
      </c>
      <c r="N32" s="25">
        <f>tblExpenses[[#This Row],[VATAmount]]+tblExpenses[[#This Row],[HTAmount]]</f>
        <v>150.63749999999999</v>
      </c>
      <c r="T32"/>
    </row>
    <row r="33" spans="1:20" x14ac:dyDescent="0.2">
      <c r="A33" s="74">
        <v>45638</v>
      </c>
      <c r="B33" s="68" t="s">
        <v>57</v>
      </c>
      <c r="C33" s="68" t="s">
        <v>130</v>
      </c>
      <c r="D33" s="68" t="s">
        <v>207</v>
      </c>
      <c r="E33" s="69">
        <v>1</v>
      </c>
      <c r="F33" s="69" t="s">
        <v>114</v>
      </c>
      <c r="G33" s="70" t="s">
        <v>220</v>
      </c>
      <c r="H33" s="70"/>
      <c r="I33" s="70"/>
      <c r="J33" s="94">
        <v>0.17</v>
      </c>
      <c r="K33" s="1">
        <f>YEAR(tblExpenses[[#This Row],[Date]])</f>
        <v>2024</v>
      </c>
      <c r="L33" s="1" t="str">
        <f>LEFT(tblExpenses[[#This Row],[Category]],1)</f>
        <v>F</v>
      </c>
      <c r="M33" s="25">
        <f>tblExpenses[[#This Row],[VATRate]]*tblExpenses[[#This Row],[HTAmount]]</f>
        <v>0</v>
      </c>
      <c r="N33" s="25">
        <f>tblExpenses[[#This Row],[VATAmount]]+tblExpenses[[#This Row],[HTAmount]]</f>
        <v>0</v>
      </c>
      <c r="T33"/>
    </row>
    <row r="34" spans="1:20" x14ac:dyDescent="0.2">
      <c r="A34" s="74">
        <v>45662</v>
      </c>
      <c r="B34" s="68" t="s">
        <v>47</v>
      </c>
      <c r="C34" s="68" t="s">
        <v>47</v>
      </c>
      <c r="D34" s="68" t="s">
        <v>99</v>
      </c>
      <c r="E34" s="69">
        <v>0</v>
      </c>
      <c r="F34" s="69" t="s">
        <v>114</v>
      </c>
      <c r="G34" s="70" t="s">
        <v>220</v>
      </c>
      <c r="H34" s="70"/>
      <c r="I34" s="70">
        <v>1093.8600000000001</v>
      </c>
      <c r="J34" s="94">
        <v>0</v>
      </c>
      <c r="K34" s="1">
        <f>YEAR(tblExpenses[[#This Row],[Date]])</f>
        <v>2025</v>
      </c>
      <c r="L34" s="1" t="str">
        <f>LEFT(tblExpenses[[#This Row],[Category]],1)</f>
        <v>F</v>
      </c>
      <c r="M34" s="25">
        <f>tblExpenses[[#This Row],[VATRate]]*tblExpenses[[#This Row],[HTAmount]]</f>
        <v>0</v>
      </c>
      <c r="N34" s="25">
        <f>tblExpenses[[#This Row],[VATAmount]]+tblExpenses[[#This Row],[HTAmount]]</f>
        <v>1093.8600000000001</v>
      </c>
      <c r="T34"/>
    </row>
    <row r="35" spans="1:20" x14ac:dyDescent="0.2">
      <c r="A35" s="74">
        <v>45804</v>
      </c>
      <c r="B35" s="68" t="s">
        <v>48</v>
      </c>
      <c r="C35" s="68" t="s">
        <v>48</v>
      </c>
      <c r="D35" s="68" t="s">
        <v>21</v>
      </c>
      <c r="E35" s="69">
        <v>0</v>
      </c>
      <c r="F35" s="69" t="s">
        <v>114</v>
      </c>
      <c r="G35" s="70" t="s">
        <v>220</v>
      </c>
      <c r="H35" s="70"/>
      <c r="I35" s="70"/>
      <c r="J35" s="94">
        <v>0</v>
      </c>
      <c r="K35" s="1">
        <f>YEAR(tblExpenses[[#This Row],[Date]])</f>
        <v>2025</v>
      </c>
      <c r="L35" s="1" t="str">
        <f>LEFT(tblExpenses[[#This Row],[Category]],1)</f>
        <v>V</v>
      </c>
      <c r="M35" s="25">
        <f>tblExpenses[[#This Row],[VATRate]]*tblExpenses[[#This Row],[HTAmount]]</f>
        <v>0</v>
      </c>
      <c r="N35" s="25">
        <f>tblExpenses[[#This Row],[VATAmount]]+tblExpenses[[#This Row],[HTAmount]]</f>
        <v>0</v>
      </c>
      <c r="T35"/>
    </row>
    <row r="36" spans="1:20" x14ac:dyDescent="0.2">
      <c r="A36" s="74">
        <v>45804</v>
      </c>
      <c r="B36" s="68" t="s">
        <v>69</v>
      </c>
      <c r="C36" s="68" t="s">
        <v>48</v>
      </c>
      <c r="D36" s="68" t="s">
        <v>135</v>
      </c>
      <c r="E36" s="69">
        <v>0</v>
      </c>
      <c r="F36" s="69" t="s">
        <v>114</v>
      </c>
      <c r="G36" s="70" t="s">
        <v>220</v>
      </c>
      <c r="H36" s="70"/>
      <c r="I36" s="70">
        <v>126.16</v>
      </c>
      <c r="J36" s="94">
        <v>0.17</v>
      </c>
      <c r="K36" s="120">
        <f>YEAR(tblExpenses[[#This Row],[Date]])</f>
        <v>2025</v>
      </c>
      <c r="L36" s="121" t="str">
        <f>LEFT(tblExpenses[[#This Row],[Category]],1)</f>
        <v>X</v>
      </c>
      <c r="M36" s="25">
        <f>tblExpenses[[#This Row],[VATRate]]*tblExpenses[[#This Row],[HTAmount]]</f>
        <v>21.447200000000002</v>
      </c>
      <c r="N36" s="25">
        <f>tblExpenses[[#This Row],[VATAmount]]+tblExpenses[[#This Row],[HTAmount]]</f>
        <v>147.60720000000001</v>
      </c>
      <c r="T36"/>
    </row>
    <row r="37" spans="1:20" x14ac:dyDescent="0.2">
      <c r="A37" s="74">
        <v>45804</v>
      </c>
      <c r="B37" s="68" t="s">
        <v>55</v>
      </c>
      <c r="C37" s="68" t="s">
        <v>48</v>
      </c>
      <c r="D37" s="68" t="s">
        <v>207</v>
      </c>
      <c r="E37" s="69">
        <v>0.25</v>
      </c>
      <c r="F37" s="69" t="s">
        <v>114</v>
      </c>
      <c r="G37" s="70" t="s">
        <v>220</v>
      </c>
      <c r="H37" s="70"/>
      <c r="I37" s="70"/>
      <c r="J37" s="94">
        <v>0.17</v>
      </c>
      <c r="K37" s="1">
        <f>YEAR(tblExpenses[[#This Row],[Date]])</f>
        <v>2025</v>
      </c>
      <c r="L37" s="1" t="str">
        <f>LEFT(tblExpenses[[#This Row],[Category]],1)</f>
        <v>F</v>
      </c>
      <c r="M37" s="25">
        <f>tblExpenses[[#This Row],[VATRate]]*tblExpenses[[#This Row],[HTAmount]]</f>
        <v>0</v>
      </c>
      <c r="N37" s="25">
        <f>tblExpenses[[#This Row],[VATAmount]]+tblExpenses[[#This Row],[HTAmount]]</f>
        <v>0</v>
      </c>
      <c r="T37"/>
    </row>
    <row r="38" spans="1:20" x14ac:dyDescent="0.2">
      <c r="A38" s="74">
        <v>45804</v>
      </c>
      <c r="B38" s="68" t="s">
        <v>49</v>
      </c>
      <c r="C38" s="68" t="s">
        <v>48</v>
      </c>
      <c r="D38" s="68" t="s">
        <v>41</v>
      </c>
      <c r="E38" s="69">
        <v>0</v>
      </c>
      <c r="F38" s="69" t="s">
        <v>114</v>
      </c>
      <c r="G38" s="70" t="s">
        <v>220</v>
      </c>
      <c r="H38" s="70"/>
      <c r="I38" s="70"/>
      <c r="J38" s="94">
        <v>0.17</v>
      </c>
      <c r="K38" s="1">
        <f>YEAR(tblExpenses[[#This Row],[Date]])</f>
        <v>2025</v>
      </c>
      <c r="L38" s="1" t="str">
        <f>LEFT(tblExpenses[[#This Row],[Category]],1)</f>
        <v>F</v>
      </c>
      <c r="M38" s="25">
        <f>tblExpenses[[#This Row],[VATRate]]*tblExpenses[[#This Row],[HTAmount]]</f>
        <v>0</v>
      </c>
      <c r="N38" s="25">
        <f>tblExpenses[[#This Row],[VATAmount]]+tblExpenses[[#This Row],[HTAmount]]</f>
        <v>0</v>
      </c>
      <c r="T38"/>
    </row>
    <row r="39" spans="1:20" x14ac:dyDescent="0.2">
      <c r="A39" s="74">
        <v>45892</v>
      </c>
      <c r="B39" s="68" t="s">
        <v>70</v>
      </c>
      <c r="C39" s="68" t="s">
        <v>70</v>
      </c>
      <c r="D39" s="68" t="s">
        <v>141</v>
      </c>
      <c r="E39" s="69">
        <v>0</v>
      </c>
      <c r="F39" s="69" t="s">
        <v>114</v>
      </c>
      <c r="G39" s="70" t="s">
        <v>220</v>
      </c>
      <c r="H39" s="70"/>
      <c r="I39" s="70">
        <v>0</v>
      </c>
      <c r="J39" s="94">
        <v>0</v>
      </c>
      <c r="K39" s="1">
        <f>YEAR(tblExpenses[[#This Row],[Date]])</f>
        <v>2025</v>
      </c>
      <c r="L39" s="1" t="str">
        <f>LEFT(tblExpenses[[#This Row],[Category]],1)</f>
        <v>V</v>
      </c>
      <c r="M39" s="25">
        <f>tblExpenses[[#This Row],[VATRate]]*tblExpenses[[#This Row],[HTAmount]]</f>
        <v>0</v>
      </c>
      <c r="N39" s="25">
        <f>tblExpenses[[#This Row],[VATAmount]]+tblExpenses[[#This Row],[HTAmount]]</f>
        <v>0</v>
      </c>
      <c r="T39"/>
    </row>
    <row r="40" spans="1:20" x14ac:dyDescent="0.2">
      <c r="A40" s="74">
        <v>45959</v>
      </c>
      <c r="B40" s="68" t="s">
        <v>72</v>
      </c>
      <c r="C40" s="68" t="s">
        <v>71</v>
      </c>
      <c r="D40" s="68" t="s">
        <v>207</v>
      </c>
      <c r="E40" s="69">
        <v>1</v>
      </c>
      <c r="F40" s="69" t="s">
        <v>114</v>
      </c>
      <c r="G40" s="70" t="s">
        <v>220</v>
      </c>
      <c r="H40" s="70"/>
      <c r="I40" s="70"/>
      <c r="J40" s="94">
        <v>0.17</v>
      </c>
      <c r="K40" s="1">
        <f>YEAR(tblExpenses[[#This Row],[Date]])</f>
        <v>2025</v>
      </c>
      <c r="L40" s="1" t="str">
        <f>LEFT(tblExpenses[[#This Row],[Category]],1)</f>
        <v>F</v>
      </c>
      <c r="M40" s="25">
        <f>tblExpenses[[#This Row],[VATRate]]*tblExpenses[[#This Row],[HTAmount]]</f>
        <v>0</v>
      </c>
      <c r="N40" s="25">
        <f>tblExpenses[[#This Row],[VATAmount]]+tblExpenses[[#This Row],[HTAmount]]</f>
        <v>0</v>
      </c>
      <c r="T40"/>
    </row>
    <row r="41" spans="1:20" x14ac:dyDescent="0.2">
      <c r="A41" s="74">
        <v>46024</v>
      </c>
      <c r="B41" s="68" t="s">
        <v>177</v>
      </c>
      <c r="C41" s="68" t="s">
        <v>177</v>
      </c>
      <c r="D41" s="68" t="s">
        <v>99</v>
      </c>
      <c r="E41" s="69">
        <v>0</v>
      </c>
      <c r="F41" s="69" t="s">
        <v>114</v>
      </c>
      <c r="G41" s="70" t="s">
        <v>220</v>
      </c>
      <c r="H41" s="70"/>
      <c r="I41" s="70">
        <v>747.4</v>
      </c>
      <c r="J41" s="94">
        <v>0</v>
      </c>
      <c r="K41" s="1">
        <f>YEAR(tblExpenses[[#This Row],[Date]])</f>
        <v>2026</v>
      </c>
      <c r="L41" s="1" t="str">
        <f>LEFT(tblExpenses[[#This Row],[Category]],1)</f>
        <v>F</v>
      </c>
      <c r="M41" s="25">
        <f>tblExpenses[[#This Row],[VATRate]]*tblExpenses[[#This Row],[HTAmount]]</f>
        <v>0</v>
      </c>
      <c r="N41" s="25">
        <f>tblExpenses[[#This Row],[VATAmount]]+tblExpenses[[#This Row],[HTAmount]]</f>
        <v>747.4</v>
      </c>
      <c r="T41"/>
    </row>
    <row r="42" spans="1:20" x14ac:dyDescent="0.2">
      <c r="A42" s="73"/>
      <c r="L42" s="1"/>
    </row>
    <row r="43" spans="1:20" x14ac:dyDescent="0.2">
      <c r="A43" s="73"/>
      <c r="L43" s="1"/>
    </row>
    <row r="44" spans="1:20" x14ac:dyDescent="0.2">
      <c r="A44" s="73"/>
      <c r="L44" s="1"/>
    </row>
    <row r="45" spans="1:20" x14ac:dyDescent="0.2">
      <c r="A45" s="73"/>
      <c r="L45" s="1"/>
    </row>
    <row r="46" spans="1:20" x14ac:dyDescent="0.2">
      <c r="A46" s="73"/>
      <c r="L46" s="1"/>
    </row>
    <row r="47" spans="1:20" x14ac:dyDescent="0.2">
      <c r="A47" s="73"/>
      <c r="L47" s="1"/>
    </row>
    <row r="48" spans="1:20" x14ac:dyDescent="0.2">
      <c r="A48" s="73"/>
      <c r="L48" s="1"/>
    </row>
    <row r="49" spans="1:12" x14ac:dyDescent="0.2">
      <c r="A49" s="73"/>
      <c r="L49" s="1"/>
    </row>
    <row r="50" spans="1:12" x14ac:dyDescent="0.2">
      <c r="A50" s="73"/>
      <c r="L50" s="1"/>
    </row>
    <row r="51" spans="1:12" x14ac:dyDescent="0.2">
      <c r="A51" s="73"/>
      <c r="L51" s="1"/>
    </row>
    <row r="52" spans="1:12" x14ac:dyDescent="0.2">
      <c r="A52" s="73"/>
      <c r="L52" s="1"/>
    </row>
    <row r="53" spans="1:12" x14ac:dyDescent="0.2">
      <c r="A53" s="73"/>
      <c r="L53" s="1"/>
    </row>
    <row r="54" spans="1:12" x14ac:dyDescent="0.2">
      <c r="A54" s="73"/>
      <c r="L54" s="1"/>
    </row>
    <row r="55" spans="1:12" x14ac:dyDescent="0.2">
      <c r="A55" s="73"/>
      <c r="L55" s="1"/>
    </row>
    <row r="56" spans="1:12" x14ac:dyDescent="0.2">
      <c r="A56" s="73"/>
      <c r="L56" s="1"/>
    </row>
    <row r="57" spans="1:12" x14ac:dyDescent="0.2">
      <c r="A57" s="73"/>
      <c r="L57" s="1"/>
    </row>
    <row r="58" spans="1:12" x14ac:dyDescent="0.2">
      <c r="A58" s="73"/>
      <c r="L58" s="1"/>
    </row>
    <row r="59" spans="1:12" x14ac:dyDescent="0.2">
      <c r="A59" s="73"/>
      <c r="L59" s="1"/>
    </row>
    <row r="60" spans="1:12" x14ac:dyDescent="0.2">
      <c r="A60" s="73"/>
      <c r="L60" s="1"/>
    </row>
    <row r="61" spans="1:12" x14ac:dyDescent="0.2">
      <c r="A61" s="73"/>
      <c r="L61" s="1"/>
    </row>
    <row r="62" spans="1:12" x14ac:dyDescent="0.2">
      <c r="A62" s="73"/>
      <c r="L62" s="1"/>
    </row>
    <row r="63" spans="1:12" x14ac:dyDescent="0.2">
      <c r="A63" s="73"/>
      <c r="L63" s="1"/>
    </row>
    <row r="64" spans="1:12" x14ac:dyDescent="0.2">
      <c r="A64" s="73"/>
      <c r="L64" s="1"/>
    </row>
    <row r="65" spans="1:12" x14ac:dyDescent="0.2">
      <c r="A65" s="73"/>
      <c r="L65" s="1"/>
    </row>
    <row r="66" spans="1:12" x14ac:dyDescent="0.2">
      <c r="A66" s="73"/>
      <c r="L66" s="1"/>
    </row>
    <row r="67" spans="1:12" x14ac:dyDescent="0.2">
      <c r="A67" s="73"/>
      <c r="L67" s="1"/>
    </row>
    <row r="68" spans="1:12" x14ac:dyDescent="0.2">
      <c r="A68" s="73"/>
      <c r="L68" s="1"/>
    </row>
    <row r="69" spans="1:12" x14ac:dyDescent="0.2">
      <c r="A69" s="73"/>
      <c r="L69" s="1"/>
    </row>
    <row r="70" spans="1:12" x14ac:dyDescent="0.2">
      <c r="A70" s="73"/>
      <c r="L70" s="1"/>
    </row>
    <row r="71" spans="1:12" x14ac:dyDescent="0.2">
      <c r="A71" s="73"/>
      <c r="L71" s="1"/>
    </row>
    <row r="72" spans="1:12" x14ac:dyDescent="0.2">
      <c r="A72" s="73"/>
      <c r="L72" s="1"/>
    </row>
    <row r="73" spans="1:12" x14ac:dyDescent="0.2">
      <c r="A73" s="73"/>
      <c r="L73" s="1"/>
    </row>
    <row r="74" spans="1:12" x14ac:dyDescent="0.2">
      <c r="A74" s="73"/>
      <c r="L74" s="1"/>
    </row>
    <row r="75" spans="1:12" x14ac:dyDescent="0.2">
      <c r="A75" s="73"/>
      <c r="L75" s="1"/>
    </row>
    <row r="76" spans="1:12" x14ac:dyDescent="0.2">
      <c r="A76" s="73"/>
      <c r="L76" s="1"/>
    </row>
    <row r="77" spans="1:12" x14ac:dyDescent="0.2">
      <c r="A77" s="73"/>
      <c r="L77" s="1"/>
    </row>
    <row r="78" spans="1:12" x14ac:dyDescent="0.2">
      <c r="A78" s="73"/>
      <c r="L78" s="1"/>
    </row>
    <row r="79" spans="1:12" x14ac:dyDescent="0.2">
      <c r="A79" s="73"/>
      <c r="L79" s="1"/>
    </row>
    <row r="80" spans="1:12" x14ac:dyDescent="0.2">
      <c r="A80" s="73"/>
      <c r="L80" s="1"/>
    </row>
    <row r="81" spans="1:12" x14ac:dyDescent="0.2">
      <c r="A81" s="73"/>
      <c r="L81" s="1"/>
    </row>
    <row r="82" spans="1:12" x14ac:dyDescent="0.2">
      <c r="A82" s="73"/>
      <c r="L82" s="1"/>
    </row>
    <row r="83" spans="1:12" x14ac:dyDescent="0.2">
      <c r="A83" s="73"/>
      <c r="L83" s="1"/>
    </row>
    <row r="84" spans="1:12" x14ac:dyDescent="0.2">
      <c r="A84" s="73"/>
      <c r="L84" s="1"/>
    </row>
    <row r="85" spans="1:12" x14ac:dyDescent="0.2">
      <c r="A85" s="73"/>
      <c r="L85" s="1"/>
    </row>
    <row r="86" spans="1:12" x14ac:dyDescent="0.2">
      <c r="A86" s="73"/>
      <c r="L86" s="1"/>
    </row>
    <row r="87" spans="1:12" x14ac:dyDescent="0.2">
      <c r="A87" s="73"/>
      <c r="L87" s="1"/>
    </row>
    <row r="88" spans="1:12" x14ac:dyDescent="0.2">
      <c r="A88" s="73"/>
      <c r="L88" s="1"/>
    </row>
    <row r="89" spans="1:12" x14ac:dyDescent="0.2">
      <c r="A89" s="73"/>
      <c r="L89" s="1"/>
    </row>
    <row r="90" spans="1:12" x14ac:dyDescent="0.2">
      <c r="A90" s="73"/>
      <c r="L90" s="1"/>
    </row>
    <row r="91" spans="1:12" x14ac:dyDescent="0.2">
      <c r="A91" s="73"/>
      <c r="L91" s="1"/>
    </row>
    <row r="92" spans="1:12" x14ac:dyDescent="0.2">
      <c r="A92" s="73"/>
      <c r="L92" s="1"/>
    </row>
    <row r="93" spans="1:12" x14ac:dyDescent="0.2">
      <c r="A93" s="73"/>
      <c r="L93" s="1"/>
    </row>
    <row r="94" spans="1:12" x14ac:dyDescent="0.2">
      <c r="A94" s="73"/>
      <c r="L94" s="1"/>
    </row>
    <row r="95" spans="1:12" x14ac:dyDescent="0.2">
      <c r="A95" s="73"/>
      <c r="L95" s="1"/>
    </row>
    <row r="96" spans="1:12" x14ac:dyDescent="0.2">
      <c r="A96" s="73"/>
      <c r="L96" s="1"/>
    </row>
    <row r="97" spans="1:12" x14ac:dyDescent="0.2">
      <c r="A97" s="73"/>
      <c r="L97" s="1"/>
    </row>
    <row r="98" spans="1:12" x14ac:dyDescent="0.2">
      <c r="A98" s="73"/>
      <c r="L98" s="1"/>
    </row>
    <row r="99" spans="1:12" x14ac:dyDescent="0.2">
      <c r="A99" s="73"/>
      <c r="L99" s="1"/>
    </row>
    <row r="100" spans="1:12" x14ac:dyDescent="0.2">
      <c r="A100" s="73"/>
      <c r="L100" s="1"/>
    </row>
    <row r="101" spans="1:12" x14ac:dyDescent="0.2">
      <c r="A101" s="73"/>
      <c r="L101" s="1"/>
    </row>
    <row r="102" spans="1:12" x14ac:dyDescent="0.2">
      <c r="A102" s="73"/>
      <c r="L102" s="1"/>
    </row>
    <row r="103" spans="1:12" x14ac:dyDescent="0.2">
      <c r="A103" s="73"/>
      <c r="L103" s="1"/>
    </row>
    <row r="104" spans="1:12" x14ac:dyDescent="0.2">
      <c r="A104" s="73"/>
      <c r="L104" s="1"/>
    </row>
    <row r="105" spans="1:12" x14ac:dyDescent="0.2">
      <c r="A105" s="73"/>
      <c r="L105" s="1"/>
    </row>
    <row r="106" spans="1:12" x14ac:dyDescent="0.2">
      <c r="A106" s="73"/>
      <c r="L106" s="1"/>
    </row>
    <row r="107" spans="1:12" x14ac:dyDescent="0.2">
      <c r="A107" s="73"/>
      <c r="L107" s="1"/>
    </row>
    <row r="108" spans="1:12" x14ac:dyDescent="0.2">
      <c r="A108" s="73"/>
      <c r="L108" s="1"/>
    </row>
    <row r="109" spans="1:12" x14ac:dyDescent="0.2">
      <c r="A109" s="73"/>
      <c r="L109" s="1"/>
    </row>
    <row r="110" spans="1:12" x14ac:dyDescent="0.2">
      <c r="A110" s="73"/>
      <c r="L110" s="1"/>
    </row>
    <row r="111" spans="1:12" x14ac:dyDescent="0.2">
      <c r="A111" s="73"/>
      <c r="L111" s="1"/>
    </row>
    <row r="112" spans="1:12" x14ac:dyDescent="0.2">
      <c r="A112" s="73"/>
      <c r="L112" s="1"/>
    </row>
    <row r="113" spans="1:12" x14ac:dyDescent="0.2">
      <c r="A113" s="73"/>
      <c r="L113" s="1"/>
    </row>
    <row r="114" spans="1:12" x14ac:dyDescent="0.2">
      <c r="A114" s="73"/>
      <c r="L114" s="1"/>
    </row>
    <row r="115" spans="1:12" x14ac:dyDescent="0.2">
      <c r="A115" s="73"/>
      <c r="L115" s="1"/>
    </row>
    <row r="116" spans="1:12" x14ac:dyDescent="0.2">
      <c r="A116" s="73"/>
      <c r="L116" s="1"/>
    </row>
    <row r="117" spans="1:12" x14ac:dyDescent="0.2">
      <c r="A117" s="73"/>
      <c r="L117" s="1"/>
    </row>
    <row r="118" spans="1:12" x14ac:dyDescent="0.2">
      <c r="A118" s="73"/>
      <c r="L118" s="1"/>
    </row>
    <row r="119" spans="1:12" x14ac:dyDescent="0.2">
      <c r="A119" s="73"/>
      <c r="L119" s="1"/>
    </row>
    <row r="120" spans="1:12" x14ac:dyDescent="0.2">
      <c r="A120" s="73"/>
      <c r="L120" s="1"/>
    </row>
    <row r="121" spans="1:12" x14ac:dyDescent="0.2">
      <c r="A121" s="73"/>
      <c r="L121" s="1"/>
    </row>
    <row r="122" spans="1:12" x14ac:dyDescent="0.2">
      <c r="A122" s="73"/>
      <c r="L122" s="1"/>
    </row>
    <row r="123" spans="1:12" x14ac:dyDescent="0.2">
      <c r="A123" s="73"/>
      <c r="L123" s="1"/>
    </row>
    <row r="124" spans="1:12" x14ac:dyDescent="0.2">
      <c r="A124" s="73"/>
      <c r="L124" s="1"/>
    </row>
    <row r="125" spans="1:12" x14ac:dyDescent="0.2">
      <c r="A125" s="73"/>
      <c r="L125" s="1"/>
    </row>
    <row r="126" spans="1:12" x14ac:dyDescent="0.2">
      <c r="A126" s="73"/>
      <c r="L126" s="1"/>
    </row>
    <row r="127" spans="1:12" x14ac:dyDescent="0.2">
      <c r="A127" s="73"/>
      <c r="L127" s="1"/>
    </row>
    <row r="128" spans="1:12" x14ac:dyDescent="0.2">
      <c r="A128" s="73"/>
      <c r="L128" s="1"/>
    </row>
    <row r="129" spans="1:12" x14ac:dyDescent="0.2">
      <c r="A129" s="73"/>
      <c r="L129" s="1"/>
    </row>
    <row r="130" spans="1:12" x14ac:dyDescent="0.2">
      <c r="A130" s="73"/>
      <c r="L130" s="1"/>
    </row>
    <row r="131" spans="1:12" x14ac:dyDescent="0.2">
      <c r="A131" s="73"/>
      <c r="L131" s="1"/>
    </row>
    <row r="132" spans="1:12" x14ac:dyDescent="0.2">
      <c r="A132" s="73"/>
      <c r="L132" s="1"/>
    </row>
    <row r="133" spans="1:12" x14ac:dyDescent="0.2">
      <c r="A133" s="73"/>
      <c r="L133" s="1"/>
    </row>
    <row r="134" spans="1:12" x14ac:dyDescent="0.2">
      <c r="A134" s="73"/>
      <c r="L134" s="1"/>
    </row>
    <row r="135" spans="1:12" x14ac:dyDescent="0.2">
      <c r="A135" s="73"/>
      <c r="L135" s="1"/>
    </row>
    <row r="136" spans="1:12" x14ac:dyDescent="0.2">
      <c r="A136" s="73"/>
      <c r="L136" s="1"/>
    </row>
    <row r="137" spans="1:12" x14ac:dyDescent="0.2">
      <c r="A137" s="73"/>
      <c r="L137" s="1"/>
    </row>
    <row r="138" spans="1:12" x14ac:dyDescent="0.2">
      <c r="A138" s="73"/>
      <c r="L138" s="1"/>
    </row>
    <row r="139" spans="1:12" x14ac:dyDescent="0.2">
      <c r="A139" s="73"/>
      <c r="L139" s="1"/>
    </row>
    <row r="140" spans="1:12" x14ac:dyDescent="0.2">
      <c r="A140" s="73"/>
      <c r="L140" s="1"/>
    </row>
    <row r="141" spans="1:12" x14ac:dyDescent="0.2">
      <c r="A141" s="73"/>
      <c r="L141" s="1"/>
    </row>
    <row r="142" spans="1:12" x14ac:dyDescent="0.2">
      <c r="A142" s="73"/>
      <c r="L142" s="1"/>
    </row>
    <row r="143" spans="1:12" x14ac:dyDescent="0.2">
      <c r="A143" s="73"/>
      <c r="L143" s="1"/>
    </row>
    <row r="144" spans="1:12" x14ac:dyDescent="0.2">
      <c r="A144" s="73"/>
      <c r="L144" s="1"/>
    </row>
    <row r="145" spans="1:12" x14ac:dyDescent="0.2">
      <c r="A145" s="73"/>
      <c r="L145" s="1"/>
    </row>
    <row r="146" spans="1:12" x14ac:dyDescent="0.2">
      <c r="A146" s="73"/>
      <c r="L146" s="1"/>
    </row>
    <row r="147" spans="1:12" x14ac:dyDescent="0.2">
      <c r="A147" s="73"/>
      <c r="L147" s="1"/>
    </row>
    <row r="148" spans="1:12" x14ac:dyDescent="0.2">
      <c r="A148" s="73"/>
      <c r="L148" s="1"/>
    </row>
    <row r="149" spans="1:12" x14ac:dyDescent="0.2">
      <c r="A149" s="73"/>
      <c r="L149" s="1"/>
    </row>
    <row r="150" spans="1:12" x14ac:dyDescent="0.2">
      <c r="A150" s="73"/>
      <c r="L150" s="1"/>
    </row>
    <row r="151" spans="1:12" x14ac:dyDescent="0.2">
      <c r="A151" s="73"/>
      <c r="L151" s="1"/>
    </row>
    <row r="152" spans="1:12" x14ac:dyDescent="0.2">
      <c r="A152" s="73"/>
      <c r="L152" s="1"/>
    </row>
    <row r="153" spans="1:12" x14ac:dyDescent="0.2">
      <c r="A153" s="73"/>
      <c r="L153" s="1"/>
    </row>
    <row r="154" spans="1:12" x14ac:dyDescent="0.2">
      <c r="A154" s="73"/>
      <c r="L154" s="1"/>
    </row>
    <row r="155" spans="1:12" x14ac:dyDescent="0.2">
      <c r="A155" s="73"/>
      <c r="L155" s="1"/>
    </row>
    <row r="156" spans="1:12" x14ac:dyDescent="0.2">
      <c r="A156" s="73"/>
      <c r="L156" s="1"/>
    </row>
    <row r="157" spans="1:12" x14ac:dyDescent="0.2">
      <c r="A157" s="73"/>
      <c r="L157" s="1"/>
    </row>
    <row r="158" spans="1:12" x14ac:dyDescent="0.2">
      <c r="A158" s="73"/>
      <c r="L158" s="1"/>
    </row>
    <row r="159" spans="1:12" x14ac:dyDescent="0.2">
      <c r="A159" s="73"/>
      <c r="L159" s="1"/>
    </row>
    <row r="160" spans="1:12" x14ac:dyDescent="0.2">
      <c r="A160" s="73"/>
      <c r="L160" s="1"/>
    </row>
    <row r="161" spans="1:12" x14ac:dyDescent="0.2">
      <c r="A161" s="73"/>
      <c r="L161" s="1"/>
    </row>
    <row r="162" spans="1:12" x14ac:dyDescent="0.2">
      <c r="A162" s="73"/>
      <c r="L162" s="1"/>
    </row>
    <row r="163" spans="1:12" x14ac:dyDescent="0.2">
      <c r="A163" s="73"/>
      <c r="L163" s="1"/>
    </row>
    <row r="164" spans="1:12" x14ac:dyDescent="0.2">
      <c r="A164" s="73"/>
      <c r="L164" s="1"/>
    </row>
    <row r="165" spans="1:12" x14ac:dyDescent="0.2">
      <c r="A165" s="73"/>
      <c r="L165" s="1"/>
    </row>
    <row r="166" spans="1:12" x14ac:dyDescent="0.2">
      <c r="A166" s="73"/>
      <c r="L166" s="1"/>
    </row>
    <row r="167" spans="1:12" x14ac:dyDescent="0.2">
      <c r="A167" s="73"/>
      <c r="L167" s="1"/>
    </row>
    <row r="168" spans="1:12" x14ac:dyDescent="0.2">
      <c r="A168" s="73"/>
      <c r="L168" s="1"/>
    </row>
    <row r="169" spans="1:12" x14ac:dyDescent="0.2">
      <c r="A169" s="73"/>
      <c r="L169" s="1"/>
    </row>
    <row r="170" spans="1:12" x14ac:dyDescent="0.2">
      <c r="A170" s="73"/>
      <c r="L170" s="1"/>
    </row>
    <row r="171" spans="1:12" x14ac:dyDescent="0.2">
      <c r="A171" s="73"/>
      <c r="L171" s="1"/>
    </row>
    <row r="172" spans="1:12" x14ac:dyDescent="0.2">
      <c r="A172" s="73"/>
      <c r="L172" s="1"/>
    </row>
    <row r="173" spans="1:12" x14ac:dyDescent="0.2">
      <c r="A173" s="73"/>
      <c r="L173" s="1"/>
    </row>
    <row r="174" spans="1:12" x14ac:dyDescent="0.2">
      <c r="A174" s="73"/>
      <c r="L174" s="1"/>
    </row>
    <row r="175" spans="1:12" x14ac:dyDescent="0.2">
      <c r="A175" s="73"/>
      <c r="L175" s="1"/>
    </row>
    <row r="176" spans="1:12" x14ac:dyDescent="0.2">
      <c r="A176" s="73"/>
      <c r="L176" s="1"/>
    </row>
    <row r="177" spans="1:12" x14ac:dyDescent="0.2">
      <c r="A177" s="73"/>
      <c r="L177" s="1"/>
    </row>
    <row r="178" spans="1:12" x14ac:dyDescent="0.2">
      <c r="A178" s="73"/>
      <c r="L178" s="1"/>
    </row>
    <row r="179" spans="1:12" x14ac:dyDescent="0.2">
      <c r="A179" s="73"/>
      <c r="L179" s="1"/>
    </row>
    <row r="180" spans="1:12" x14ac:dyDescent="0.2">
      <c r="A180" s="73"/>
      <c r="L180" s="1"/>
    </row>
    <row r="181" spans="1:12" x14ac:dyDescent="0.2">
      <c r="A181" s="73"/>
      <c r="L181" s="1"/>
    </row>
    <row r="182" spans="1:12" x14ac:dyDescent="0.2">
      <c r="A182" s="73"/>
      <c r="L182" s="1"/>
    </row>
    <row r="183" spans="1:12" x14ac:dyDescent="0.2">
      <c r="A183" s="73"/>
      <c r="L183" s="1"/>
    </row>
    <row r="184" spans="1:12" x14ac:dyDescent="0.2">
      <c r="A184" s="73"/>
      <c r="L184" s="1"/>
    </row>
    <row r="185" spans="1:12" x14ac:dyDescent="0.2">
      <c r="A185" s="73"/>
      <c r="L185" s="1"/>
    </row>
    <row r="186" spans="1:12" x14ac:dyDescent="0.2">
      <c r="A186" s="73"/>
      <c r="L186" s="1"/>
    </row>
    <row r="187" spans="1:12" x14ac:dyDescent="0.2">
      <c r="A187" s="73"/>
      <c r="L187" s="1"/>
    </row>
    <row r="188" spans="1:12" x14ac:dyDescent="0.2">
      <c r="A188" s="73"/>
      <c r="L188" s="1"/>
    </row>
    <row r="189" spans="1:12" x14ac:dyDescent="0.2">
      <c r="A189" s="73"/>
      <c r="L189" s="1"/>
    </row>
    <row r="190" spans="1:12" x14ac:dyDescent="0.2">
      <c r="A190" s="73"/>
      <c r="L190" s="1"/>
    </row>
    <row r="191" spans="1:12" x14ac:dyDescent="0.2">
      <c r="A191" s="73"/>
      <c r="L191" s="1"/>
    </row>
    <row r="192" spans="1:12" x14ac:dyDescent="0.2">
      <c r="A192" s="73"/>
      <c r="L192" s="1"/>
    </row>
    <row r="193" spans="1:12" x14ac:dyDescent="0.2">
      <c r="A193" s="73"/>
      <c r="L193" s="1"/>
    </row>
    <row r="194" spans="1:12" x14ac:dyDescent="0.2">
      <c r="A194" s="73"/>
      <c r="L194" s="1"/>
    </row>
    <row r="195" spans="1:12" x14ac:dyDescent="0.2">
      <c r="A195" s="73"/>
      <c r="L195" s="1"/>
    </row>
    <row r="196" spans="1:12" x14ac:dyDescent="0.2">
      <c r="A196" s="73"/>
      <c r="L196" s="1"/>
    </row>
    <row r="197" spans="1:12" x14ac:dyDescent="0.2">
      <c r="A197" s="73"/>
      <c r="L197" s="1"/>
    </row>
    <row r="198" spans="1:12" x14ac:dyDescent="0.2">
      <c r="A198" s="73"/>
      <c r="L198" s="1"/>
    </row>
    <row r="199" spans="1:12" x14ac:dyDescent="0.2">
      <c r="A199" s="73"/>
      <c r="L199" s="1"/>
    </row>
    <row r="200" spans="1:12" x14ac:dyDescent="0.2">
      <c r="A200" s="73"/>
      <c r="L200" s="1"/>
    </row>
    <row r="201" spans="1:12" x14ac:dyDescent="0.2">
      <c r="A201" s="73"/>
      <c r="L201" s="1"/>
    </row>
    <row r="202" spans="1:12" x14ac:dyDescent="0.2">
      <c r="A202" s="73"/>
      <c r="L202" s="1"/>
    </row>
    <row r="203" spans="1:12" x14ac:dyDescent="0.2">
      <c r="A203" s="73"/>
      <c r="L203" s="1"/>
    </row>
    <row r="204" spans="1:12" x14ac:dyDescent="0.2">
      <c r="A204" s="73"/>
      <c r="L204" s="1"/>
    </row>
    <row r="205" spans="1:12" x14ac:dyDescent="0.2">
      <c r="A205" s="73"/>
      <c r="L205" s="1"/>
    </row>
    <row r="206" spans="1:12" x14ac:dyDescent="0.2">
      <c r="A206" s="73"/>
      <c r="L206" s="1"/>
    </row>
    <row r="207" spans="1:12" x14ac:dyDescent="0.2">
      <c r="A207" s="73"/>
      <c r="L207" s="1"/>
    </row>
    <row r="208" spans="1:12" x14ac:dyDescent="0.2">
      <c r="A208" s="73"/>
      <c r="L208" s="1"/>
    </row>
    <row r="209" spans="1:12" x14ac:dyDescent="0.2">
      <c r="A209" s="73"/>
      <c r="L209" s="1"/>
    </row>
    <row r="210" spans="1:12" x14ac:dyDescent="0.2">
      <c r="A210" s="73"/>
      <c r="L210" s="1"/>
    </row>
    <row r="211" spans="1:12" x14ac:dyDescent="0.2">
      <c r="A211" s="73"/>
      <c r="L211" s="1"/>
    </row>
    <row r="212" spans="1:12" x14ac:dyDescent="0.2">
      <c r="A212" s="73"/>
      <c r="L212" s="1"/>
    </row>
    <row r="213" spans="1:12" x14ac:dyDescent="0.2">
      <c r="A213" s="73"/>
      <c r="L213" s="1"/>
    </row>
    <row r="214" spans="1:12" x14ac:dyDescent="0.2">
      <c r="A214" s="73"/>
      <c r="L214" s="1"/>
    </row>
    <row r="215" spans="1:12" x14ac:dyDescent="0.2">
      <c r="A215" s="73"/>
      <c r="L215" s="1"/>
    </row>
    <row r="216" spans="1:12" x14ac:dyDescent="0.2">
      <c r="A216" s="73"/>
      <c r="L216" s="1"/>
    </row>
    <row r="217" spans="1:12" x14ac:dyDescent="0.2">
      <c r="A217" s="73"/>
      <c r="L217" s="1"/>
    </row>
    <row r="218" spans="1:12" x14ac:dyDescent="0.2">
      <c r="A218" s="73"/>
      <c r="L218" s="1"/>
    </row>
    <row r="219" spans="1:12" x14ac:dyDescent="0.2">
      <c r="A219" s="73"/>
      <c r="L219" s="1"/>
    </row>
    <row r="220" spans="1:12" x14ac:dyDescent="0.2">
      <c r="A220" s="73"/>
      <c r="L220" s="1"/>
    </row>
    <row r="221" spans="1:12" x14ac:dyDescent="0.2">
      <c r="A221" s="73"/>
      <c r="L221" s="1"/>
    </row>
    <row r="222" spans="1:12" x14ac:dyDescent="0.2">
      <c r="A222" s="73"/>
      <c r="L222" s="1"/>
    </row>
    <row r="223" spans="1:12" x14ac:dyDescent="0.2">
      <c r="A223" s="73"/>
      <c r="L223" s="1"/>
    </row>
    <row r="224" spans="1:12" x14ac:dyDescent="0.2">
      <c r="A224" s="73"/>
      <c r="L224" s="1"/>
    </row>
    <row r="225" spans="1:12" x14ac:dyDescent="0.2">
      <c r="A225" s="73"/>
      <c r="L225" s="1"/>
    </row>
    <row r="226" spans="1:12" x14ac:dyDescent="0.2">
      <c r="A226" s="73"/>
      <c r="L226" s="1"/>
    </row>
    <row r="227" spans="1:12" x14ac:dyDescent="0.2">
      <c r="A227" s="73"/>
      <c r="L227" s="1"/>
    </row>
    <row r="228" spans="1:12" x14ac:dyDescent="0.2">
      <c r="A228" s="73"/>
      <c r="L228" s="1"/>
    </row>
    <row r="229" spans="1:12" x14ac:dyDescent="0.2">
      <c r="A229" s="73"/>
      <c r="L229" s="1"/>
    </row>
    <row r="230" spans="1:12" x14ac:dyDescent="0.2">
      <c r="A230" s="73"/>
      <c r="L230" s="1"/>
    </row>
    <row r="231" spans="1:12" x14ac:dyDescent="0.2">
      <c r="A231" s="73"/>
      <c r="L231" s="1"/>
    </row>
    <row r="232" spans="1:12" x14ac:dyDescent="0.2">
      <c r="A232" s="73"/>
      <c r="L232" s="1"/>
    </row>
    <row r="233" spans="1:12" x14ac:dyDescent="0.2">
      <c r="A233" s="73"/>
      <c r="L233" s="1"/>
    </row>
    <row r="234" spans="1:12" x14ac:dyDescent="0.2">
      <c r="A234" s="73"/>
      <c r="L234" s="1"/>
    </row>
    <row r="235" spans="1:12" x14ac:dyDescent="0.2">
      <c r="A235" s="73"/>
      <c r="L235" s="1"/>
    </row>
    <row r="236" spans="1:12" x14ac:dyDescent="0.2">
      <c r="A236" s="73"/>
      <c r="L236" s="1"/>
    </row>
    <row r="237" spans="1:12" x14ac:dyDescent="0.2">
      <c r="A237" s="73"/>
      <c r="L237" s="1"/>
    </row>
    <row r="238" spans="1:12" x14ac:dyDescent="0.2">
      <c r="A238" s="73"/>
      <c r="L238" s="1"/>
    </row>
    <row r="239" spans="1:12" x14ac:dyDescent="0.2">
      <c r="A239" s="73"/>
      <c r="L239" s="1"/>
    </row>
    <row r="240" spans="1:12" x14ac:dyDescent="0.2">
      <c r="A240" s="73"/>
      <c r="L240" s="1"/>
    </row>
    <row r="241" spans="1:12" x14ac:dyDescent="0.2">
      <c r="A241" s="73"/>
      <c r="L241" s="1"/>
    </row>
    <row r="242" spans="1:12" x14ac:dyDescent="0.2">
      <c r="A242" s="73"/>
      <c r="L242" s="1"/>
    </row>
    <row r="243" spans="1:12" x14ac:dyDescent="0.2">
      <c r="A243" s="73"/>
      <c r="L243" s="1"/>
    </row>
    <row r="244" spans="1:12" x14ac:dyDescent="0.2">
      <c r="A244" s="73"/>
      <c r="L244" s="1"/>
    </row>
    <row r="245" spans="1:12" x14ac:dyDescent="0.2">
      <c r="A245" s="73"/>
      <c r="L245" s="1"/>
    </row>
    <row r="246" spans="1:12" x14ac:dyDescent="0.2">
      <c r="A246" s="73"/>
      <c r="L246" s="1"/>
    </row>
    <row r="247" spans="1:12" x14ac:dyDescent="0.2">
      <c r="A247" s="73"/>
      <c r="L247" s="1"/>
    </row>
    <row r="248" spans="1:12" x14ac:dyDescent="0.2">
      <c r="A248" s="73"/>
      <c r="L248" s="1"/>
    </row>
    <row r="249" spans="1:12" x14ac:dyDescent="0.2">
      <c r="A249" s="73"/>
      <c r="L249" s="1"/>
    </row>
    <row r="250" spans="1:12" x14ac:dyDescent="0.2">
      <c r="A250" s="73"/>
      <c r="L250" s="1"/>
    </row>
    <row r="251" spans="1:12" x14ac:dyDescent="0.2">
      <c r="A251" s="73"/>
      <c r="L251" s="1"/>
    </row>
    <row r="252" spans="1:12" x14ac:dyDescent="0.2">
      <c r="A252" s="73"/>
      <c r="L252" s="1"/>
    </row>
    <row r="253" spans="1:12" x14ac:dyDescent="0.2">
      <c r="A253" s="73"/>
      <c r="L253" s="1"/>
    </row>
    <row r="254" spans="1:12" x14ac:dyDescent="0.2">
      <c r="A254" s="73"/>
      <c r="L254" s="1"/>
    </row>
    <row r="255" spans="1:12" x14ac:dyDescent="0.2">
      <c r="A255" s="73"/>
      <c r="L255" s="1"/>
    </row>
    <row r="256" spans="1:12" x14ac:dyDescent="0.2">
      <c r="A256" s="73"/>
      <c r="L256" s="1"/>
    </row>
    <row r="257" spans="1:12" x14ac:dyDescent="0.2">
      <c r="A257" s="73"/>
      <c r="L257" s="1"/>
    </row>
    <row r="258" spans="1:12" x14ac:dyDescent="0.2">
      <c r="A258" s="73"/>
      <c r="L258" s="1"/>
    </row>
    <row r="259" spans="1:12" x14ac:dyDescent="0.2">
      <c r="A259" s="73"/>
      <c r="L259" s="1"/>
    </row>
    <row r="260" spans="1:12" x14ac:dyDescent="0.2">
      <c r="A260" s="73"/>
      <c r="L260" s="1"/>
    </row>
    <row r="261" spans="1:12" x14ac:dyDescent="0.2">
      <c r="A261" s="73"/>
      <c r="L261" s="1"/>
    </row>
    <row r="262" spans="1:12" x14ac:dyDescent="0.2">
      <c r="A262" s="73"/>
      <c r="L262" s="1"/>
    </row>
    <row r="263" spans="1:12" x14ac:dyDescent="0.2">
      <c r="A263" s="73"/>
      <c r="L263" s="1"/>
    </row>
    <row r="264" spans="1:12" x14ac:dyDescent="0.2">
      <c r="A264" s="73"/>
      <c r="L264" s="1"/>
    </row>
    <row r="265" spans="1:12" x14ac:dyDescent="0.2">
      <c r="A265" s="73"/>
      <c r="L265" s="1"/>
    </row>
    <row r="266" spans="1:12" x14ac:dyDescent="0.2">
      <c r="A266" s="73"/>
      <c r="L266" s="1"/>
    </row>
    <row r="267" spans="1:12" x14ac:dyDescent="0.2">
      <c r="A267" s="73"/>
      <c r="L267" s="1"/>
    </row>
    <row r="268" spans="1:12" x14ac:dyDescent="0.2">
      <c r="A268" s="73"/>
      <c r="L268" s="1"/>
    </row>
    <row r="269" spans="1:12" x14ac:dyDescent="0.2">
      <c r="A269" s="73"/>
      <c r="L269" s="1"/>
    </row>
    <row r="270" spans="1:12" x14ac:dyDescent="0.2">
      <c r="A270" s="73"/>
      <c r="L270" s="1"/>
    </row>
    <row r="271" spans="1:12" x14ac:dyDescent="0.2">
      <c r="A271" s="73"/>
      <c r="L271" s="1"/>
    </row>
    <row r="272" spans="1:12" x14ac:dyDescent="0.2">
      <c r="A272" s="73"/>
      <c r="L272" s="1"/>
    </row>
    <row r="273" spans="1:12" x14ac:dyDescent="0.2">
      <c r="A273" s="73"/>
      <c r="L273" s="1"/>
    </row>
    <row r="274" spans="1:12" x14ac:dyDescent="0.2">
      <c r="A274" s="73"/>
      <c r="L274" s="1"/>
    </row>
    <row r="275" spans="1:12" x14ac:dyDescent="0.2">
      <c r="A275" s="73"/>
      <c r="L275" s="1"/>
    </row>
    <row r="276" spans="1:12" x14ac:dyDescent="0.2">
      <c r="A276" s="73"/>
      <c r="L276" s="1"/>
    </row>
    <row r="277" spans="1:12" x14ac:dyDescent="0.2">
      <c r="A277" s="73"/>
      <c r="L277" s="1"/>
    </row>
    <row r="278" spans="1:12" x14ac:dyDescent="0.2">
      <c r="A278" s="73"/>
      <c r="L278" s="1"/>
    </row>
    <row r="279" spans="1:12" x14ac:dyDescent="0.2">
      <c r="A279" s="73"/>
      <c r="L279" s="1"/>
    </row>
    <row r="280" spans="1:12" x14ac:dyDescent="0.2">
      <c r="A280" s="73"/>
      <c r="L280" s="1"/>
    </row>
    <row r="281" spans="1:12" x14ac:dyDescent="0.2">
      <c r="A281" s="73"/>
      <c r="L281" s="1"/>
    </row>
    <row r="282" spans="1:12" x14ac:dyDescent="0.2">
      <c r="A282" s="73"/>
      <c r="L282" s="1"/>
    </row>
    <row r="283" spans="1:12" x14ac:dyDescent="0.2">
      <c r="A283" s="73"/>
      <c r="L283" s="1"/>
    </row>
    <row r="284" spans="1:12" x14ac:dyDescent="0.2">
      <c r="A284" s="73"/>
      <c r="L284" s="1"/>
    </row>
    <row r="285" spans="1:12" x14ac:dyDescent="0.2">
      <c r="A285" s="73"/>
      <c r="L285" s="1"/>
    </row>
    <row r="286" spans="1:12" x14ac:dyDescent="0.2">
      <c r="A286" s="73"/>
      <c r="L286" s="1"/>
    </row>
    <row r="287" spans="1:12" x14ac:dyDescent="0.2">
      <c r="A287" s="73"/>
      <c r="L287" s="1"/>
    </row>
    <row r="288" spans="1:12" x14ac:dyDescent="0.2">
      <c r="A288" s="73"/>
      <c r="L288" s="1"/>
    </row>
    <row r="289" spans="1:12" x14ac:dyDescent="0.2">
      <c r="A289" s="73"/>
      <c r="L289" s="1"/>
    </row>
    <row r="290" spans="1:12" x14ac:dyDescent="0.2">
      <c r="A290" s="73"/>
      <c r="L290" s="1"/>
    </row>
    <row r="291" spans="1:12" x14ac:dyDescent="0.2">
      <c r="A291" s="73"/>
      <c r="L291" s="1"/>
    </row>
    <row r="292" spans="1:12" x14ac:dyDescent="0.2">
      <c r="A292" s="73"/>
      <c r="L292" s="1"/>
    </row>
    <row r="293" spans="1:12" x14ac:dyDescent="0.2">
      <c r="A293" s="73"/>
      <c r="L293" s="1"/>
    </row>
    <row r="294" spans="1:12" x14ac:dyDescent="0.2">
      <c r="A294" s="73"/>
      <c r="L294" s="1"/>
    </row>
    <row r="295" spans="1:12" x14ac:dyDescent="0.2">
      <c r="A295" s="73"/>
      <c r="L295" s="1"/>
    </row>
    <row r="296" spans="1:12" x14ac:dyDescent="0.2">
      <c r="A296" s="73"/>
      <c r="L296" s="1"/>
    </row>
    <row r="297" spans="1:12" x14ac:dyDescent="0.2">
      <c r="A297" s="73"/>
      <c r="L297" s="1"/>
    </row>
    <row r="298" spans="1:12" x14ac:dyDescent="0.2">
      <c r="A298" s="73"/>
      <c r="L298" s="1"/>
    </row>
    <row r="299" spans="1:12" x14ac:dyDescent="0.2">
      <c r="A299" s="73"/>
      <c r="L299" s="1"/>
    </row>
    <row r="300" spans="1:12" x14ac:dyDescent="0.2">
      <c r="A300" s="73"/>
      <c r="L300" s="1"/>
    </row>
    <row r="301" spans="1:12" x14ac:dyDescent="0.2">
      <c r="A301" s="73"/>
      <c r="L301" s="1"/>
    </row>
    <row r="302" spans="1:12" x14ac:dyDescent="0.2">
      <c r="A302" s="73"/>
      <c r="L302" s="1"/>
    </row>
    <row r="303" spans="1:12" x14ac:dyDescent="0.2">
      <c r="A303" s="73"/>
      <c r="L303" s="1"/>
    </row>
    <row r="304" spans="1:12" x14ac:dyDescent="0.2">
      <c r="A304" s="73"/>
      <c r="L304" s="1"/>
    </row>
    <row r="305" spans="1:12" x14ac:dyDescent="0.2">
      <c r="A305" s="73"/>
      <c r="L305" s="1"/>
    </row>
    <row r="306" spans="1:12" x14ac:dyDescent="0.2">
      <c r="A306" s="73"/>
      <c r="L306" s="1"/>
    </row>
    <row r="307" spans="1:12" x14ac:dyDescent="0.2">
      <c r="A307" s="73"/>
      <c r="L307" s="1"/>
    </row>
    <row r="308" spans="1:12" x14ac:dyDescent="0.2">
      <c r="A308" s="73"/>
      <c r="L308" s="1"/>
    </row>
    <row r="309" spans="1:12" x14ac:dyDescent="0.2">
      <c r="A309" s="73"/>
      <c r="L309" s="1"/>
    </row>
    <row r="310" spans="1:12" x14ac:dyDescent="0.2">
      <c r="A310" s="73"/>
      <c r="L310" s="1"/>
    </row>
    <row r="311" spans="1:12" x14ac:dyDescent="0.2">
      <c r="A311" s="73"/>
      <c r="L311" s="1"/>
    </row>
    <row r="312" spans="1:12" x14ac:dyDescent="0.2">
      <c r="A312" s="73"/>
      <c r="L312" s="1"/>
    </row>
    <row r="313" spans="1:12" x14ac:dyDescent="0.2">
      <c r="A313" s="73"/>
      <c r="L313" s="1"/>
    </row>
    <row r="314" spans="1:12" x14ac:dyDescent="0.2">
      <c r="A314" s="73"/>
      <c r="L314" s="1"/>
    </row>
    <row r="315" spans="1:12" x14ac:dyDescent="0.2">
      <c r="A315" s="73"/>
      <c r="L315" s="1"/>
    </row>
    <row r="316" spans="1:12" x14ac:dyDescent="0.2">
      <c r="A316" s="73"/>
      <c r="L316" s="1"/>
    </row>
    <row r="317" spans="1:12" x14ac:dyDescent="0.2">
      <c r="A317" s="73"/>
      <c r="L317" s="1"/>
    </row>
    <row r="318" spans="1:12" x14ac:dyDescent="0.2">
      <c r="A318" s="73"/>
      <c r="L318" s="1"/>
    </row>
    <row r="319" spans="1:12" x14ac:dyDescent="0.2">
      <c r="A319" s="73"/>
      <c r="L319" s="1"/>
    </row>
    <row r="320" spans="1:12" x14ac:dyDescent="0.2">
      <c r="A320" s="73"/>
      <c r="L320" s="1"/>
    </row>
    <row r="321" spans="1:12" x14ac:dyDescent="0.2">
      <c r="A321" s="73"/>
      <c r="L321" s="1"/>
    </row>
    <row r="322" spans="1:12" x14ac:dyDescent="0.2">
      <c r="A322" s="73"/>
      <c r="L322" s="1"/>
    </row>
    <row r="323" spans="1:12" x14ac:dyDescent="0.2">
      <c r="A323" s="73"/>
      <c r="L323" s="1"/>
    </row>
    <row r="324" spans="1:12" x14ac:dyDescent="0.2">
      <c r="A324" s="73"/>
      <c r="L324" s="1"/>
    </row>
    <row r="325" spans="1:12" x14ac:dyDescent="0.2">
      <c r="A325" s="73"/>
      <c r="L325" s="1"/>
    </row>
    <row r="326" spans="1:12" x14ac:dyDescent="0.2">
      <c r="A326" s="73"/>
      <c r="L326" s="1"/>
    </row>
    <row r="327" spans="1:12" x14ac:dyDescent="0.2">
      <c r="A327" s="73"/>
      <c r="L327" s="1"/>
    </row>
    <row r="328" spans="1:12" x14ac:dyDescent="0.2">
      <c r="A328" s="73"/>
      <c r="L328" s="1"/>
    </row>
    <row r="329" spans="1:12" x14ac:dyDescent="0.2">
      <c r="A329" s="73"/>
      <c r="L329" s="1"/>
    </row>
    <row r="330" spans="1:12" x14ac:dyDescent="0.2">
      <c r="A330" s="73"/>
      <c r="L330" s="1"/>
    </row>
    <row r="331" spans="1:12" x14ac:dyDescent="0.2">
      <c r="A331" s="73"/>
      <c r="L331" s="1"/>
    </row>
    <row r="332" spans="1:12" x14ac:dyDescent="0.2">
      <c r="A332" s="73"/>
      <c r="L332" s="1"/>
    </row>
    <row r="333" spans="1:12" x14ac:dyDescent="0.2">
      <c r="A333" s="73"/>
      <c r="L333" s="1"/>
    </row>
    <row r="334" spans="1:12" x14ac:dyDescent="0.2">
      <c r="A334" s="73"/>
      <c r="L334" s="1"/>
    </row>
    <row r="335" spans="1:12" x14ac:dyDescent="0.2">
      <c r="A335" s="73"/>
      <c r="L335" s="1"/>
    </row>
    <row r="336" spans="1:12" x14ac:dyDescent="0.2">
      <c r="A336" s="73"/>
      <c r="L336" s="1"/>
    </row>
    <row r="337" spans="1:12" x14ac:dyDescent="0.2">
      <c r="A337" s="73"/>
      <c r="L337" s="1"/>
    </row>
    <row r="338" spans="1:12" x14ac:dyDescent="0.2">
      <c r="A338" s="73"/>
      <c r="L338" s="1"/>
    </row>
    <row r="339" spans="1:12" x14ac:dyDescent="0.2">
      <c r="A339" s="73"/>
      <c r="L339" s="1"/>
    </row>
    <row r="340" spans="1:12" x14ac:dyDescent="0.2">
      <c r="A340" s="73"/>
      <c r="L340" s="1"/>
    </row>
    <row r="341" spans="1:12" x14ac:dyDescent="0.2">
      <c r="A341" s="73"/>
      <c r="L341" s="1"/>
    </row>
    <row r="342" spans="1:12" x14ac:dyDescent="0.2">
      <c r="A342" s="73"/>
      <c r="L342" s="1"/>
    </row>
    <row r="343" spans="1:12" x14ac:dyDescent="0.2">
      <c r="A343" s="73"/>
      <c r="L343" s="1"/>
    </row>
    <row r="344" spans="1:12" x14ac:dyDescent="0.2">
      <c r="A344" s="73"/>
      <c r="L344" s="1"/>
    </row>
    <row r="345" spans="1:12" x14ac:dyDescent="0.2">
      <c r="A345" s="73"/>
      <c r="L345" s="1"/>
    </row>
    <row r="346" spans="1:12" x14ac:dyDescent="0.2">
      <c r="A346" s="73"/>
      <c r="L346" s="1"/>
    </row>
    <row r="347" spans="1:12" x14ac:dyDescent="0.2">
      <c r="A347" s="73"/>
      <c r="L347" s="1"/>
    </row>
    <row r="348" spans="1:12" x14ac:dyDescent="0.2">
      <c r="A348" s="73"/>
      <c r="L348" s="1"/>
    </row>
    <row r="349" spans="1:12" x14ac:dyDescent="0.2">
      <c r="A349" s="73"/>
      <c r="L349" s="1"/>
    </row>
    <row r="350" spans="1:12" x14ac:dyDescent="0.2">
      <c r="A350" s="73"/>
      <c r="L350" s="1"/>
    </row>
    <row r="351" spans="1:12" x14ac:dyDescent="0.2">
      <c r="A351" s="73"/>
      <c r="L351" s="1"/>
    </row>
    <row r="352" spans="1:12" x14ac:dyDescent="0.2">
      <c r="A352" s="73"/>
      <c r="L352" s="1"/>
    </row>
    <row r="353" spans="1:12" x14ac:dyDescent="0.2">
      <c r="A353" s="73"/>
      <c r="L353" s="1"/>
    </row>
    <row r="354" spans="1:12" x14ac:dyDescent="0.2">
      <c r="A354" s="73"/>
      <c r="L354" s="1"/>
    </row>
    <row r="355" spans="1:12" x14ac:dyDescent="0.2">
      <c r="A355" s="73"/>
      <c r="L355" s="1"/>
    </row>
    <row r="356" spans="1:12" x14ac:dyDescent="0.2">
      <c r="A356" s="73"/>
      <c r="L356" s="1"/>
    </row>
    <row r="357" spans="1:12" x14ac:dyDescent="0.2">
      <c r="A357" s="73"/>
      <c r="L357" s="1"/>
    </row>
    <row r="358" spans="1:12" x14ac:dyDescent="0.2">
      <c r="A358" s="73"/>
      <c r="L358" s="1"/>
    </row>
    <row r="359" spans="1:12" x14ac:dyDescent="0.2">
      <c r="A359" s="73"/>
      <c r="L359" s="1"/>
    </row>
    <row r="360" spans="1:12" x14ac:dyDescent="0.2">
      <c r="A360" s="73"/>
      <c r="L360" s="1"/>
    </row>
    <row r="361" spans="1:12" x14ac:dyDescent="0.2">
      <c r="A361" s="73"/>
      <c r="L361" s="1"/>
    </row>
    <row r="362" spans="1:12" x14ac:dyDescent="0.2">
      <c r="A362" s="73"/>
      <c r="L362" s="1"/>
    </row>
    <row r="363" spans="1:12" x14ac:dyDescent="0.2">
      <c r="A363" s="73"/>
      <c r="L363" s="1"/>
    </row>
    <row r="364" spans="1:12" x14ac:dyDescent="0.2">
      <c r="A364" s="73"/>
      <c r="L364" s="1"/>
    </row>
    <row r="365" spans="1:12" x14ac:dyDescent="0.2">
      <c r="A365" s="73"/>
      <c r="L365" s="1"/>
    </row>
    <row r="366" spans="1:12" x14ac:dyDescent="0.2">
      <c r="A366" s="73"/>
      <c r="L366" s="1"/>
    </row>
    <row r="367" spans="1:12" x14ac:dyDescent="0.2">
      <c r="A367" s="73"/>
      <c r="L367" s="1"/>
    </row>
    <row r="368" spans="1:12" x14ac:dyDescent="0.2">
      <c r="A368" s="73"/>
      <c r="L368" s="1"/>
    </row>
    <row r="369" spans="1:12" x14ac:dyDescent="0.2">
      <c r="A369" s="73"/>
      <c r="L369" s="1"/>
    </row>
    <row r="370" spans="1:12" x14ac:dyDescent="0.2">
      <c r="A370" s="73"/>
      <c r="L370" s="1"/>
    </row>
    <row r="371" spans="1:12" x14ac:dyDescent="0.2">
      <c r="A371" s="73"/>
      <c r="L371" s="1"/>
    </row>
    <row r="372" spans="1:12" x14ac:dyDescent="0.2">
      <c r="A372" s="73"/>
      <c r="L372" s="1"/>
    </row>
    <row r="373" spans="1:12" x14ac:dyDescent="0.2">
      <c r="A373" s="73"/>
      <c r="L373" s="1"/>
    </row>
    <row r="374" spans="1:12" x14ac:dyDescent="0.2">
      <c r="A374" s="73"/>
      <c r="L374" s="1"/>
    </row>
    <row r="375" spans="1:12" x14ac:dyDescent="0.2">
      <c r="A375" s="73"/>
      <c r="L375" s="1"/>
    </row>
    <row r="376" spans="1:12" x14ac:dyDescent="0.2">
      <c r="A376" s="73"/>
      <c r="L376" s="1"/>
    </row>
    <row r="377" spans="1:12" x14ac:dyDescent="0.2">
      <c r="A377" s="73"/>
      <c r="L377" s="1"/>
    </row>
    <row r="378" spans="1:12" x14ac:dyDescent="0.2">
      <c r="A378" s="73"/>
      <c r="L378" s="1"/>
    </row>
    <row r="379" spans="1:12" x14ac:dyDescent="0.2">
      <c r="A379" s="73"/>
      <c r="L379" s="1"/>
    </row>
    <row r="380" spans="1:12" x14ac:dyDescent="0.2">
      <c r="A380" s="73"/>
      <c r="L380" s="1"/>
    </row>
    <row r="381" spans="1:12" x14ac:dyDescent="0.2">
      <c r="A381" s="73"/>
      <c r="L381" s="1"/>
    </row>
    <row r="382" spans="1:12" x14ac:dyDescent="0.2">
      <c r="A382" s="73"/>
      <c r="L382" s="1"/>
    </row>
    <row r="383" spans="1:12" x14ac:dyDescent="0.2">
      <c r="A383" s="73"/>
      <c r="L383" s="1"/>
    </row>
    <row r="384" spans="1:12" x14ac:dyDescent="0.2">
      <c r="A384" s="73"/>
      <c r="L384" s="1"/>
    </row>
    <row r="385" spans="1:12" x14ac:dyDescent="0.2">
      <c r="A385" s="73"/>
      <c r="L385" s="1"/>
    </row>
    <row r="386" spans="1:12" x14ac:dyDescent="0.2">
      <c r="A386" s="73"/>
      <c r="L386" s="1"/>
    </row>
    <row r="387" spans="1:12" x14ac:dyDescent="0.2">
      <c r="A387" s="73"/>
      <c r="L387" s="1"/>
    </row>
    <row r="388" spans="1:12" x14ac:dyDescent="0.2">
      <c r="A388" s="73"/>
      <c r="L388" s="1"/>
    </row>
    <row r="389" spans="1:12" x14ac:dyDescent="0.2">
      <c r="A389" s="73"/>
      <c r="L389" s="1"/>
    </row>
    <row r="390" spans="1:12" x14ac:dyDescent="0.2">
      <c r="A390" s="73"/>
      <c r="L390" s="1"/>
    </row>
    <row r="391" spans="1:12" x14ac:dyDescent="0.2">
      <c r="A391" s="73"/>
      <c r="L391" s="1"/>
    </row>
    <row r="392" spans="1:12" x14ac:dyDescent="0.2">
      <c r="A392" s="73"/>
      <c r="L392" s="1"/>
    </row>
    <row r="393" spans="1:12" x14ac:dyDescent="0.2">
      <c r="A393" s="73"/>
      <c r="L393" s="1"/>
    </row>
    <row r="394" spans="1:12" x14ac:dyDescent="0.2">
      <c r="A394" s="73"/>
      <c r="L394" s="1"/>
    </row>
    <row r="395" spans="1:12" x14ac:dyDescent="0.2">
      <c r="A395" s="73"/>
      <c r="L395" s="1"/>
    </row>
    <row r="396" spans="1:12" x14ac:dyDescent="0.2">
      <c r="A396" s="73"/>
      <c r="L396" s="1"/>
    </row>
    <row r="397" spans="1:12" x14ac:dyDescent="0.2">
      <c r="A397" s="73"/>
      <c r="L397" s="1"/>
    </row>
    <row r="398" spans="1:12" x14ac:dyDescent="0.2">
      <c r="A398" s="73"/>
      <c r="L398" s="1"/>
    </row>
    <row r="399" spans="1:12" x14ac:dyDescent="0.2">
      <c r="A399" s="73"/>
      <c r="L399" s="1"/>
    </row>
    <row r="400" spans="1:12" x14ac:dyDescent="0.2">
      <c r="A400" s="73"/>
      <c r="L400" s="1"/>
    </row>
    <row r="401" spans="1:12" x14ac:dyDescent="0.2">
      <c r="A401" s="73"/>
      <c r="L401" s="1"/>
    </row>
    <row r="402" spans="1:12" x14ac:dyDescent="0.2">
      <c r="A402" s="73"/>
      <c r="L402" s="1"/>
    </row>
    <row r="403" spans="1:12" x14ac:dyDescent="0.2">
      <c r="A403" s="73"/>
      <c r="L403" s="1"/>
    </row>
    <row r="404" spans="1:12" x14ac:dyDescent="0.2">
      <c r="A404" s="73"/>
      <c r="L404" s="1"/>
    </row>
    <row r="405" spans="1:12" x14ac:dyDescent="0.2">
      <c r="A405" s="73"/>
      <c r="L405" s="1"/>
    </row>
    <row r="406" spans="1:12" x14ac:dyDescent="0.2">
      <c r="A406" s="73"/>
      <c r="L406" s="1"/>
    </row>
    <row r="407" spans="1:12" x14ac:dyDescent="0.2">
      <c r="A407" s="73"/>
      <c r="L407" s="1"/>
    </row>
    <row r="408" spans="1:12" x14ac:dyDescent="0.2">
      <c r="A408" s="73"/>
      <c r="L408" s="1"/>
    </row>
    <row r="409" spans="1:12" x14ac:dyDescent="0.2">
      <c r="A409" s="73"/>
      <c r="L409" s="1"/>
    </row>
    <row r="410" spans="1:12" x14ac:dyDescent="0.2">
      <c r="A410" s="73"/>
      <c r="L410" s="1"/>
    </row>
    <row r="411" spans="1:12" x14ac:dyDescent="0.2">
      <c r="A411" s="73"/>
      <c r="L411" s="1"/>
    </row>
    <row r="412" spans="1:12" x14ac:dyDescent="0.2">
      <c r="A412" s="73"/>
      <c r="L412" s="1"/>
    </row>
    <row r="413" spans="1:12" x14ac:dyDescent="0.2">
      <c r="A413" s="73"/>
      <c r="L413" s="1"/>
    </row>
    <row r="414" spans="1:12" x14ac:dyDescent="0.2">
      <c r="A414" s="73"/>
      <c r="L414" s="1"/>
    </row>
    <row r="415" spans="1:12" x14ac:dyDescent="0.2">
      <c r="A415" s="73"/>
      <c r="L415" s="1"/>
    </row>
    <row r="416" spans="1:12" x14ac:dyDescent="0.2">
      <c r="A416" s="73"/>
      <c r="L416" s="1"/>
    </row>
    <row r="417" spans="1:12" x14ac:dyDescent="0.2">
      <c r="A417" s="73"/>
      <c r="L417" s="1"/>
    </row>
    <row r="418" spans="1:12" x14ac:dyDescent="0.2">
      <c r="A418" s="73"/>
      <c r="L418" s="1"/>
    </row>
    <row r="419" spans="1:12" x14ac:dyDescent="0.2">
      <c r="A419" s="73"/>
      <c r="L419" s="1"/>
    </row>
    <row r="420" spans="1:12" x14ac:dyDescent="0.2">
      <c r="A420" s="73"/>
      <c r="L420" s="1"/>
    </row>
    <row r="421" spans="1:12" x14ac:dyDescent="0.2">
      <c r="A421" s="73"/>
      <c r="L421" s="1"/>
    </row>
    <row r="422" spans="1:12" x14ac:dyDescent="0.2">
      <c r="A422" s="73"/>
      <c r="L422" s="1"/>
    </row>
    <row r="423" spans="1:12" x14ac:dyDescent="0.2">
      <c r="A423" s="73"/>
      <c r="L423" s="1"/>
    </row>
    <row r="424" spans="1:12" x14ac:dyDescent="0.2">
      <c r="A424" s="73"/>
      <c r="L424" s="1"/>
    </row>
    <row r="425" spans="1:12" x14ac:dyDescent="0.2">
      <c r="A425" s="73"/>
      <c r="L425" s="1"/>
    </row>
    <row r="426" spans="1:12" x14ac:dyDescent="0.2">
      <c r="A426" s="73"/>
      <c r="L426" s="1"/>
    </row>
    <row r="427" spans="1:12" x14ac:dyDescent="0.2">
      <c r="A427" s="73"/>
      <c r="L427" s="1"/>
    </row>
    <row r="428" spans="1:12" x14ac:dyDescent="0.2">
      <c r="A428" s="73"/>
      <c r="L428" s="1"/>
    </row>
    <row r="429" spans="1:12" x14ac:dyDescent="0.2">
      <c r="A429" s="73"/>
      <c r="L429" s="1"/>
    </row>
    <row r="430" spans="1:12" x14ac:dyDescent="0.2">
      <c r="A430" s="73"/>
      <c r="L430" s="1"/>
    </row>
    <row r="431" spans="1:12" x14ac:dyDescent="0.2">
      <c r="A431" s="73"/>
      <c r="L431" s="1"/>
    </row>
    <row r="432" spans="1:12" x14ac:dyDescent="0.2">
      <c r="A432" s="73"/>
      <c r="L432" s="1"/>
    </row>
    <row r="433" spans="1:12" x14ac:dyDescent="0.2">
      <c r="A433" s="73"/>
      <c r="L433" s="1"/>
    </row>
    <row r="434" spans="1:12" x14ac:dyDescent="0.2">
      <c r="A434" s="73"/>
      <c r="L434" s="1"/>
    </row>
    <row r="435" spans="1:12" x14ac:dyDescent="0.2">
      <c r="A435" s="73"/>
      <c r="L435" s="1"/>
    </row>
    <row r="436" spans="1:12" x14ac:dyDescent="0.2">
      <c r="A436" s="73"/>
      <c r="L436" s="1"/>
    </row>
    <row r="437" spans="1:12" x14ac:dyDescent="0.2">
      <c r="A437" s="73"/>
      <c r="L437" s="1"/>
    </row>
    <row r="438" spans="1:12" x14ac:dyDescent="0.2">
      <c r="A438" s="73"/>
      <c r="L438" s="1"/>
    </row>
    <row r="439" spans="1:12" x14ac:dyDescent="0.2">
      <c r="A439" s="73"/>
      <c r="L439" s="1"/>
    </row>
    <row r="440" spans="1:12" x14ac:dyDescent="0.2">
      <c r="A440" s="73"/>
      <c r="L440" s="1"/>
    </row>
    <row r="441" spans="1:12" x14ac:dyDescent="0.2">
      <c r="A441" s="73"/>
      <c r="L441" s="1"/>
    </row>
    <row r="442" spans="1:12" x14ac:dyDescent="0.2">
      <c r="A442" s="73"/>
      <c r="L442" s="1"/>
    </row>
    <row r="443" spans="1:12" x14ac:dyDescent="0.2">
      <c r="A443" s="73"/>
      <c r="L443" s="1"/>
    </row>
    <row r="444" spans="1:12" x14ac:dyDescent="0.2">
      <c r="A444" s="73"/>
      <c r="L444" s="1"/>
    </row>
    <row r="445" spans="1:12" x14ac:dyDescent="0.2">
      <c r="A445" s="73"/>
      <c r="L445" s="1"/>
    </row>
    <row r="446" spans="1:12" x14ac:dyDescent="0.2">
      <c r="A446" s="73"/>
      <c r="L446" s="1"/>
    </row>
    <row r="447" spans="1:12" x14ac:dyDescent="0.2">
      <c r="A447" s="73"/>
      <c r="L447" s="1"/>
    </row>
    <row r="448" spans="1:12" x14ac:dyDescent="0.2">
      <c r="A448" s="73"/>
      <c r="L448" s="1"/>
    </row>
    <row r="449" spans="1:12" x14ac:dyDescent="0.2">
      <c r="A449" s="73"/>
      <c r="L449" s="1"/>
    </row>
    <row r="450" spans="1:12" x14ac:dyDescent="0.2">
      <c r="A450" s="73"/>
      <c r="L450" s="1"/>
    </row>
    <row r="451" spans="1:12" x14ac:dyDescent="0.2">
      <c r="A451" s="73"/>
      <c r="L451" s="1"/>
    </row>
    <row r="452" spans="1:12" x14ac:dyDescent="0.2">
      <c r="A452" s="73"/>
      <c r="L452" s="1"/>
    </row>
    <row r="453" spans="1:12" x14ac:dyDescent="0.2">
      <c r="A453" s="73"/>
      <c r="L453" s="1"/>
    </row>
    <row r="454" spans="1:12" x14ac:dyDescent="0.2">
      <c r="A454" s="73"/>
      <c r="L454" s="1"/>
    </row>
    <row r="455" spans="1:12" x14ac:dyDescent="0.2">
      <c r="A455" s="73"/>
      <c r="L455" s="1"/>
    </row>
    <row r="456" spans="1:12" x14ac:dyDescent="0.2">
      <c r="A456" s="73"/>
      <c r="L456" s="1"/>
    </row>
    <row r="457" spans="1:12" x14ac:dyDescent="0.2">
      <c r="A457" s="73"/>
      <c r="L457" s="1"/>
    </row>
    <row r="458" spans="1:12" x14ac:dyDescent="0.2">
      <c r="A458" s="73"/>
      <c r="L458" s="1"/>
    </row>
    <row r="459" spans="1:12" x14ac:dyDescent="0.2">
      <c r="A459" s="73"/>
      <c r="L459" s="1"/>
    </row>
    <row r="460" spans="1:12" x14ac:dyDescent="0.2">
      <c r="A460" s="73"/>
      <c r="L460" s="1"/>
    </row>
    <row r="461" spans="1:12" x14ac:dyDescent="0.2">
      <c r="A461" s="73"/>
      <c r="L461" s="1"/>
    </row>
    <row r="462" spans="1:12" x14ac:dyDescent="0.2">
      <c r="A462" s="73"/>
      <c r="L462" s="1"/>
    </row>
    <row r="463" spans="1:12" x14ac:dyDescent="0.2">
      <c r="A463" s="73"/>
      <c r="L463" s="1"/>
    </row>
    <row r="464" spans="1:12" x14ac:dyDescent="0.2">
      <c r="A464" s="73"/>
      <c r="L464" s="1"/>
    </row>
    <row r="465" spans="1:12" x14ac:dyDescent="0.2">
      <c r="A465" s="73"/>
      <c r="L465" s="1"/>
    </row>
    <row r="466" spans="1:12" x14ac:dyDescent="0.2">
      <c r="A466" s="73"/>
      <c r="L466" s="1"/>
    </row>
    <row r="467" spans="1:12" x14ac:dyDescent="0.2">
      <c r="A467" s="73"/>
      <c r="L467" s="1"/>
    </row>
    <row r="468" spans="1:12" x14ac:dyDescent="0.2">
      <c r="A468" s="73"/>
      <c r="L468" s="1"/>
    </row>
    <row r="469" spans="1:12" x14ac:dyDescent="0.2">
      <c r="A469" s="73"/>
      <c r="L469" s="1"/>
    </row>
    <row r="470" spans="1:12" x14ac:dyDescent="0.2">
      <c r="A470" s="73"/>
      <c r="L470" s="1"/>
    </row>
    <row r="471" spans="1:12" x14ac:dyDescent="0.2">
      <c r="A471" s="73"/>
      <c r="L471" s="1"/>
    </row>
    <row r="472" spans="1:12" x14ac:dyDescent="0.2">
      <c r="A472" s="73"/>
      <c r="L472" s="1"/>
    </row>
    <row r="473" spans="1:12" x14ac:dyDescent="0.2">
      <c r="A473" s="73"/>
      <c r="L473" s="1"/>
    </row>
    <row r="474" spans="1:12" x14ac:dyDescent="0.2">
      <c r="A474" s="73"/>
      <c r="L474" s="1"/>
    </row>
    <row r="475" spans="1:12" x14ac:dyDescent="0.2">
      <c r="A475" s="73"/>
      <c r="L475" s="1"/>
    </row>
    <row r="476" spans="1:12" x14ac:dyDescent="0.2">
      <c r="A476" s="73"/>
      <c r="L476" s="1"/>
    </row>
    <row r="477" spans="1:12" x14ac:dyDescent="0.2">
      <c r="A477" s="73"/>
      <c r="L477" s="1"/>
    </row>
    <row r="478" spans="1:12" x14ac:dyDescent="0.2">
      <c r="A478" s="73"/>
      <c r="L478" s="1"/>
    </row>
    <row r="479" spans="1:12" x14ac:dyDescent="0.2">
      <c r="A479" s="73"/>
      <c r="L479" s="1"/>
    </row>
    <row r="480" spans="1:12" x14ac:dyDescent="0.2">
      <c r="A480" s="73"/>
      <c r="L480" s="1"/>
    </row>
    <row r="481" spans="1:12" x14ac:dyDescent="0.2">
      <c r="A481" s="73"/>
      <c r="L481" s="1"/>
    </row>
    <row r="482" spans="1:12" x14ac:dyDescent="0.2">
      <c r="A482" s="73"/>
      <c r="L482" s="1"/>
    </row>
    <row r="483" spans="1:12" x14ac:dyDescent="0.2">
      <c r="A483" s="73"/>
      <c r="L483" s="1"/>
    </row>
    <row r="484" spans="1:12" x14ac:dyDescent="0.2">
      <c r="A484" s="73"/>
      <c r="L484" s="1"/>
    </row>
    <row r="485" spans="1:12" x14ac:dyDescent="0.2">
      <c r="A485" s="73"/>
      <c r="L485" s="1"/>
    </row>
    <row r="486" spans="1:12" x14ac:dyDescent="0.2">
      <c r="A486" s="73"/>
      <c r="L486" s="1"/>
    </row>
    <row r="487" spans="1:12" x14ac:dyDescent="0.2">
      <c r="A487" s="73"/>
      <c r="L487" s="1"/>
    </row>
    <row r="488" spans="1:12" x14ac:dyDescent="0.2">
      <c r="A488" s="73"/>
      <c r="L488" s="1"/>
    </row>
    <row r="489" spans="1:12" x14ac:dyDescent="0.2">
      <c r="A489" s="73"/>
      <c r="L489" s="1"/>
    </row>
    <row r="490" spans="1:12" x14ac:dyDescent="0.2">
      <c r="A490" s="73"/>
      <c r="L490" s="1"/>
    </row>
    <row r="491" spans="1:12" x14ac:dyDescent="0.2">
      <c r="A491" s="73"/>
      <c r="L491" s="1"/>
    </row>
  </sheetData>
  <phoneticPr fontId="8" type="noConversion"/>
  <conditionalFormatting sqref="G1:H1 N1:N41 I42:J1048576 P42:P1048576">
    <cfRule type="cellIs" dxfId="2" priority="8" operator="lessThan">
      <formula>0</formula>
    </cfRule>
  </conditionalFormatting>
  <conditionalFormatting sqref="G2:I41">
    <cfRule type="cellIs" dxfId="1" priority="1" operator="lessThan">
      <formula>0</formula>
    </cfRule>
  </conditionalFormatting>
  <dataValidations disablePrompts="1" count="3">
    <dataValidation type="decimal" operator="greaterThan" allowBlank="1" showInputMessage="1" showErrorMessage="1" sqref="H2:H41" xr:uid="{66A51E95-E5CA-F34C-B57D-9C4337EB3BBF}">
      <formula1>-999999</formula1>
    </dataValidation>
    <dataValidation type="decimal" operator="greaterThanOrEqual" allowBlank="1" showInputMessage="1" showErrorMessage="1" sqref="E2:E41" xr:uid="{58165BDF-4E18-5043-935F-1B7A31CE6101}">
      <formula1>0</formula1>
    </dataValidation>
    <dataValidation type="whole" allowBlank="1" showInputMessage="1" showErrorMessage="1" sqref="K2:K41" xr:uid="{DBDEB8F5-0CCF-B340-812C-42EEABCA44D5}">
      <formula1>2000</formula1>
      <formula2>2035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7B92DF64-D697-314F-BBEA-408F2B4227AF}">
          <x14:formula1>
            <xm:f>Params!$D$48:$D$53</xm:f>
          </x14:formula1>
          <xm:sqref>F2:G8 F11:G16 F37:G41 F27:G35 F18:G20 F22:G25</xm:sqref>
        </x14:dataValidation>
        <x14:dataValidation type="list" allowBlank="1" showInputMessage="1" showErrorMessage="1" xr:uid="{D58142BB-2BF7-A84B-B6BF-9D463976F173}">
          <x14:formula1>
            <xm:f>Params!$D$17:$D$39</xm:f>
          </x14:formula1>
          <xm:sqref>D2:D8 D11:D16 D37:D41 D27:D35 D18:D20 D22:D25</xm:sqref>
        </x14:dataValidation>
        <x14:dataValidation type="list" allowBlank="1" showInputMessage="1" showErrorMessage="1" xr:uid="{8C3D173F-475C-624E-84D3-4EE120F1EF7D}">
          <x14:formula1>
            <xm:f>Params!$D$4:$D$13</xm:f>
          </x14:formula1>
          <xm:sqref>J2:J8 J11:J16 J37:J41 J27:J35 J18:J20 J22:J25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98C0-45BA-9542-BB04-1102D8CF2501}">
  <dimension ref="A1:L13"/>
  <sheetViews>
    <sheetView zoomScale="140" zoomScaleNormal="140" workbookViewId="0">
      <selection activeCell="C28" sqref="C28"/>
    </sheetView>
  </sheetViews>
  <sheetFormatPr baseColWidth="10" defaultRowHeight="16" x14ac:dyDescent="0.2"/>
  <cols>
    <col min="1" max="1" width="11.5" style="36" customWidth="1"/>
    <col min="3" max="4" width="10.6640625" style="38" customWidth="1"/>
    <col min="5" max="5" width="34.83203125" style="38" customWidth="1"/>
    <col min="6" max="6" width="8.5" customWidth="1"/>
    <col min="8" max="8" width="9" style="1" customWidth="1"/>
    <col min="9" max="9" width="10.83203125" style="38" customWidth="1"/>
    <col min="10" max="10" width="11.33203125" style="1" bestFit="1" customWidth="1"/>
    <col min="11" max="11" width="10.83203125" customWidth="1"/>
    <col min="12" max="12" width="7.5" style="54" customWidth="1"/>
    <col min="13" max="13" width="10.83203125" customWidth="1"/>
  </cols>
  <sheetData>
    <row r="1" spans="1:12" x14ac:dyDescent="0.2">
      <c r="A1" s="40" t="s">
        <v>1</v>
      </c>
      <c r="B1" s="45" t="s">
        <v>74</v>
      </c>
      <c r="C1" s="45" t="s">
        <v>237</v>
      </c>
      <c r="D1" s="45" t="s">
        <v>259</v>
      </c>
      <c r="E1" s="41" t="s">
        <v>235</v>
      </c>
      <c r="F1" s="41" t="s">
        <v>78</v>
      </c>
      <c r="G1" s="41" t="s">
        <v>234</v>
      </c>
      <c r="H1" s="41" t="s">
        <v>143</v>
      </c>
      <c r="I1" s="21" t="s">
        <v>118</v>
      </c>
      <c r="J1" s="1" t="s">
        <v>180</v>
      </c>
      <c r="L1"/>
    </row>
    <row r="2" spans="1:12" x14ac:dyDescent="0.2">
      <c r="A2" s="37">
        <v>43500</v>
      </c>
      <c r="B2" s="44" t="s">
        <v>227</v>
      </c>
      <c r="C2" s="36" t="s">
        <v>114</v>
      </c>
      <c r="D2" s="38" t="s">
        <v>220</v>
      </c>
      <c r="E2" s="38" t="s">
        <v>31</v>
      </c>
      <c r="F2" s="55">
        <v>236.55</v>
      </c>
      <c r="G2" s="38" t="s">
        <v>181</v>
      </c>
      <c r="H2" s="39">
        <v>128.56</v>
      </c>
      <c r="I2" s="21">
        <f>YEAR(tblAVGAS3[[#This Row],[Date]])</f>
        <v>2019</v>
      </c>
      <c r="J2" s="67">
        <f>IF(tblAVGAS3[[#This Row],[Category]]="AVGAS",tblAVGAS3[[#This Row],[TTCAmount]]/tblAVGAS3[[#This Row],[volAVGAS_L]],"")</f>
        <v>1.8399968886123212</v>
      </c>
      <c r="L2"/>
    </row>
    <row r="3" spans="1:12" x14ac:dyDescent="0.2">
      <c r="A3" s="37">
        <v>44302</v>
      </c>
      <c r="B3" s="44" t="s">
        <v>227</v>
      </c>
      <c r="C3" s="36" t="s">
        <v>114</v>
      </c>
      <c r="D3" s="38" t="s">
        <v>220</v>
      </c>
      <c r="E3" s="38" t="s">
        <v>35</v>
      </c>
      <c r="F3" s="55">
        <v>331.81</v>
      </c>
      <c r="G3" s="38" t="s">
        <v>181</v>
      </c>
      <c r="H3" s="39">
        <v>188.53</v>
      </c>
      <c r="I3" s="21">
        <f>YEAR(tblAVGAS3[[#This Row],[Date]])</f>
        <v>2021</v>
      </c>
      <c r="J3" s="67">
        <f>IF(tblAVGAS3[[#This Row],[Category]]="AVGAS",tblAVGAS3[[#This Row],[TTCAmount]]/tblAVGAS3[[#This Row],[volAVGAS_L]],"")</f>
        <v>1.7599851482522675</v>
      </c>
      <c r="L3"/>
    </row>
    <row r="4" spans="1:12" x14ac:dyDescent="0.2">
      <c r="A4" s="37">
        <v>44619</v>
      </c>
      <c r="B4" s="44" t="s">
        <v>227</v>
      </c>
      <c r="C4" s="36" t="s">
        <v>114</v>
      </c>
      <c r="D4" s="38" t="s">
        <v>220</v>
      </c>
      <c r="E4" s="38" t="s">
        <v>36</v>
      </c>
      <c r="F4" s="55">
        <v>239.93</v>
      </c>
      <c r="G4" s="38" t="s">
        <v>181</v>
      </c>
      <c r="H4" s="39">
        <v>115.91</v>
      </c>
      <c r="I4" s="21">
        <f>YEAR(tblAVGAS3[[#This Row],[Date]])</f>
        <v>2022</v>
      </c>
      <c r="J4" s="67">
        <f>IF(tblAVGAS3[[#This Row],[Category]]="AVGAS",tblAVGAS3[[#This Row],[TTCAmount]]/tblAVGAS3[[#This Row],[volAVGAS_L]],"")</f>
        <v>2.069968078681736</v>
      </c>
      <c r="L4"/>
    </row>
    <row r="5" spans="1:12" x14ac:dyDescent="0.2">
      <c r="A5" s="37">
        <v>44761</v>
      </c>
      <c r="B5" s="44" t="s">
        <v>227</v>
      </c>
      <c r="C5" s="36" t="s">
        <v>114</v>
      </c>
      <c r="D5" s="38" t="s">
        <v>220</v>
      </c>
      <c r="E5" s="38" t="s">
        <v>37</v>
      </c>
      <c r="F5" s="55">
        <v>409.56</v>
      </c>
      <c r="G5" s="38" t="s">
        <v>181</v>
      </c>
      <c r="H5" s="39">
        <v>144.72</v>
      </c>
      <c r="I5" s="21">
        <f>YEAR(tblAVGAS3[[#This Row],[Date]])</f>
        <v>2022</v>
      </c>
      <c r="J5" s="67">
        <f>IF(tblAVGAS3[[#This Row],[Category]]="AVGAS",tblAVGAS3[[#This Row],[TTCAmount]]/tblAVGAS3[[#This Row],[volAVGAS_L]],"")</f>
        <v>2.830016583747927</v>
      </c>
      <c r="L5"/>
    </row>
    <row r="6" spans="1:12" x14ac:dyDescent="0.2">
      <c r="A6" s="37">
        <v>44996</v>
      </c>
      <c r="B6" s="44" t="s">
        <v>227</v>
      </c>
      <c r="C6" s="36" t="s">
        <v>114</v>
      </c>
      <c r="D6" s="38" t="s">
        <v>220</v>
      </c>
      <c r="E6" s="38" t="s">
        <v>39</v>
      </c>
      <c r="F6" s="55">
        <v>161.16</v>
      </c>
      <c r="G6" s="38" t="s">
        <v>181</v>
      </c>
      <c r="H6" s="39">
        <v>68.290000000000006</v>
      </c>
      <c r="I6" s="21">
        <f>YEAR(tblAVGAS3[[#This Row],[Date]])</f>
        <v>2023</v>
      </c>
      <c r="J6" s="67">
        <f>IF(tblAVGAS3[[#This Row],[Category]]="AVGAS",tblAVGAS3[[#This Row],[TTCAmount]]/tblAVGAS3[[#This Row],[volAVGAS_L]],"")</f>
        <v>2.3599355688973493</v>
      </c>
      <c r="L6"/>
    </row>
    <row r="7" spans="1:12" x14ac:dyDescent="0.2">
      <c r="A7" s="37">
        <v>45116</v>
      </c>
      <c r="B7" s="44" t="s">
        <v>227</v>
      </c>
      <c r="C7" s="36" t="s">
        <v>114</v>
      </c>
      <c r="D7" s="38" t="s">
        <v>220</v>
      </c>
      <c r="E7" s="38" t="s">
        <v>186</v>
      </c>
      <c r="F7" s="55">
        <v>385.51</v>
      </c>
      <c r="G7" s="38" t="s">
        <v>182</v>
      </c>
      <c r="H7" s="39">
        <v>136.13</v>
      </c>
      <c r="I7" s="21">
        <f>YEAR(tblAVGAS3[[#This Row],[Date]])</f>
        <v>2023</v>
      </c>
      <c r="J7" s="67">
        <f>IF(tblAVGAS3[[#This Row],[Category]]="AVGAS",tblAVGAS3[[#This Row],[TTCAmount]]/tblAVGAS3[[#This Row],[volAVGAS_L]],"")</f>
        <v>2.8319253654594871</v>
      </c>
      <c r="L7"/>
    </row>
    <row r="8" spans="1:12" x14ac:dyDescent="0.2">
      <c r="A8" s="37">
        <v>45476</v>
      </c>
      <c r="B8" s="44" t="s">
        <v>227</v>
      </c>
      <c r="C8" s="36" t="s">
        <v>114</v>
      </c>
      <c r="D8" s="38" t="s">
        <v>220</v>
      </c>
      <c r="E8" s="38" t="s">
        <v>187</v>
      </c>
      <c r="F8" s="55">
        <v>610.95000000000005</v>
      </c>
      <c r="G8" s="38" t="s">
        <v>183</v>
      </c>
      <c r="H8" s="39">
        <v>161</v>
      </c>
      <c r="I8" s="21">
        <f>YEAR(tblAVGAS3[[#This Row],[Date]])</f>
        <v>2024</v>
      </c>
      <c r="J8" s="67">
        <f>IF(tblAVGAS3[[#This Row],[Category]]="AVGAS",tblAVGAS3[[#This Row],[TTCAmount]]/tblAVGAS3[[#This Row],[volAVGAS_L]],"")</f>
        <v>3.7947204968944104</v>
      </c>
      <c r="L8"/>
    </row>
    <row r="9" spans="1:12" x14ac:dyDescent="0.2">
      <c r="A9" s="37">
        <v>45625</v>
      </c>
      <c r="B9" s="44" t="s">
        <v>227</v>
      </c>
      <c r="C9" s="36" t="s">
        <v>114</v>
      </c>
      <c r="D9" s="38" t="s">
        <v>220</v>
      </c>
      <c r="E9" s="38" t="s">
        <v>185</v>
      </c>
      <c r="F9" s="55">
        <v>339.84</v>
      </c>
      <c r="G9" s="38" t="s">
        <v>181</v>
      </c>
      <c r="H9" s="39">
        <v>161.83000000000001</v>
      </c>
      <c r="I9" s="21">
        <f>YEAR(tblAVGAS3[[#This Row],[Date]])</f>
        <v>2024</v>
      </c>
      <c r="J9" s="67">
        <f>IF(tblAVGAS3[[#This Row],[Category]]="AVGAS",tblAVGAS3[[#This Row],[TTCAmount]]/tblAVGAS3[[#This Row],[volAVGAS_L]],"")</f>
        <v>2.0999814620280537</v>
      </c>
      <c r="L9"/>
    </row>
    <row r="10" spans="1:12" x14ac:dyDescent="0.2">
      <c r="A10" s="37">
        <v>45865</v>
      </c>
      <c r="B10" s="44" t="s">
        <v>227</v>
      </c>
      <c r="C10" s="36" t="s">
        <v>114</v>
      </c>
      <c r="D10" s="38" t="s">
        <v>220</v>
      </c>
      <c r="E10" s="38" t="s">
        <v>188</v>
      </c>
      <c r="F10" s="55">
        <v>229.12799999999999</v>
      </c>
      <c r="G10" s="38" t="s">
        <v>182</v>
      </c>
      <c r="H10" s="39">
        <v>88.36</v>
      </c>
      <c r="I10" s="21">
        <f>YEAR(tblAVGAS3[[#This Row],[Date]])</f>
        <v>2025</v>
      </c>
      <c r="J10" s="67">
        <f>IF(tblAVGAS3[[#This Row],[Category]]="AVGAS",tblAVGAS3[[#This Row],[TTCAmount]]/tblAVGAS3[[#This Row],[volAVGAS_L]],"")</f>
        <v>2.5931190583974648</v>
      </c>
      <c r="L10"/>
    </row>
    <row r="11" spans="1:12" x14ac:dyDescent="0.2">
      <c r="A11" s="37">
        <v>45992</v>
      </c>
      <c r="B11" s="44" t="s">
        <v>227</v>
      </c>
      <c r="C11" s="36" t="s">
        <v>114</v>
      </c>
      <c r="D11" s="38" t="s">
        <v>220</v>
      </c>
      <c r="E11" s="38" t="s">
        <v>189</v>
      </c>
      <c r="F11" s="55">
        <v>214.15</v>
      </c>
      <c r="G11" s="38" t="s">
        <v>183</v>
      </c>
      <c r="H11" s="39">
        <v>80</v>
      </c>
      <c r="I11" s="21">
        <f>YEAR(tblAVGAS3[[#This Row],[Date]])</f>
        <v>2025</v>
      </c>
      <c r="J11" s="67">
        <f>IF(tblAVGAS3[[#This Row],[Category]]="AVGAS",tblAVGAS3[[#This Row],[TTCAmount]]/tblAVGAS3[[#This Row],[volAVGAS_L]],"")</f>
        <v>2.6768749999999999</v>
      </c>
      <c r="L11"/>
    </row>
    <row r="12" spans="1:12" x14ac:dyDescent="0.2">
      <c r="A12" s="37">
        <v>46023</v>
      </c>
      <c r="B12" s="44" t="s">
        <v>227</v>
      </c>
      <c r="C12" s="36" t="s">
        <v>114</v>
      </c>
      <c r="D12" s="38" t="s">
        <v>114</v>
      </c>
      <c r="E12" s="38" t="s">
        <v>179</v>
      </c>
      <c r="F12" s="55">
        <v>0.01</v>
      </c>
      <c r="G12" s="38" t="s">
        <v>184</v>
      </c>
      <c r="H12" s="39">
        <f>tblAVGAS3[[#This Row],[TTCAmount]]/2.7</f>
        <v>3.7037037037037034E-3</v>
      </c>
      <c r="I12" s="21">
        <f>YEAR(tblAVGAS3[[#This Row],[Date]])</f>
        <v>2026</v>
      </c>
      <c r="J12" s="67">
        <f>IF(tblAVGAS3[[#This Row],[Category]]="AVGAS",tblAVGAS3[[#This Row],[TTCAmount]]/tblAVGAS3[[#This Row],[volAVGAS_L]],"")</f>
        <v>2.7</v>
      </c>
      <c r="L12"/>
    </row>
    <row r="13" spans="1:12" x14ac:dyDescent="0.2">
      <c r="A13" s="37"/>
      <c r="B13" s="44"/>
      <c r="C13" s="44"/>
      <c r="D13" s="44"/>
      <c r="F13" s="55"/>
      <c r="G13" s="38"/>
      <c r="H13" s="81"/>
      <c r="I13" s="82"/>
      <c r="J13" s="6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B64CFE1-8BE3-D743-AB3E-539593646DA7}">
          <x14:formula1>
            <xm:f>Params!$F$42:$F$44</xm:f>
          </x14:formula1>
          <xm:sqref>B2:B12</xm:sqref>
        </x14:dataValidation>
        <x14:dataValidation type="list" allowBlank="1" showInputMessage="1" showErrorMessage="1" xr:uid="{AFBEC728-8591-3349-AD8B-5172503E2925}">
          <x14:formula1>
            <xm:f>Params!$D$42:$D$46</xm:f>
          </x14:formula1>
          <xm:sqref>G2:G12</xm:sqref>
        </x14:dataValidation>
        <x14:dataValidation type="list" allowBlank="1" showInputMessage="1" showErrorMessage="1" xr:uid="{9875F03D-8A59-3A4F-811C-964905112C0B}">
          <x14:formula1>
            <xm:f>Params!$D$48:$D$53</xm:f>
          </x14:formula1>
          <xm:sqref>C2:D12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EB24-8B72-FE47-891D-7C6B222D0CFD}">
  <dimension ref="A1:X23"/>
  <sheetViews>
    <sheetView topLeftCell="A2" zoomScale="140" zoomScaleNormal="140" workbookViewId="0">
      <selection activeCell="A15" sqref="A15:M15"/>
    </sheetView>
  </sheetViews>
  <sheetFormatPr baseColWidth="10" defaultRowHeight="16" x14ac:dyDescent="0.2"/>
  <cols>
    <col min="1" max="2" width="11.5" style="36" customWidth="1"/>
    <col min="3" max="4" width="10.6640625" style="38" customWidth="1"/>
    <col min="5" max="5" width="10.6640625" style="48" customWidth="1"/>
    <col min="6" max="6" width="10.6640625" style="51" customWidth="1"/>
    <col min="7" max="7" width="10.6640625" style="48" customWidth="1"/>
    <col min="8" max="8" width="10.6640625" style="51" customWidth="1"/>
    <col min="9" max="9" width="10.6640625" style="54" customWidth="1"/>
    <col min="10" max="11" width="10.83203125" style="54" customWidth="1"/>
    <col min="12" max="12" width="8.6640625" customWidth="1"/>
    <col min="13" max="13" width="34.83203125" style="38" customWidth="1"/>
    <col min="14" max="15" width="9.6640625" customWidth="1"/>
    <col min="16" max="16" width="9.6640625" style="1" customWidth="1"/>
    <col min="17" max="17" width="10.83203125" style="38" customWidth="1"/>
    <col min="18" max="18" width="10.33203125" style="38" customWidth="1"/>
    <col min="19" max="19" width="10.83203125" style="25" customWidth="1"/>
    <col min="20" max="20" width="17.33203125" style="54" bestFit="1" customWidth="1"/>
    <col min="21" max="21" width="10.83203125" style="25" customWidth="1"/>
    <col min="22" max="23" width="10.83203125" style="3"/>
    <col min="24" max="24" width="10.83203125" style="101"/>
  </cols>
  <sheetData>
    <row r="1" spans="1:24" x14ac:dyDescent="0.2">
      <c r="A1" s="40" t="s">
        <v>1</v>
      </c>
      <c r="B1" s="40" t="s">
        <v>74</v>
      </c>
      <c r="C1" s="45" t="s">
        <v>237</v>
      </c>
      <c r="D1" s="45" t="s">
        <v>259</v>
      </c>
      <c r="E1" s="46" t="s">
        <v>263</v>
      </c>
      <c r="F1" s="49" t="s">
        <v>230</v>
      </c>
      <c r="G1" s="46" t="s">
        <v>264</v>
      </c>
      <c r="H1" s="49" t="s">
        <v>231</v>
      </c>
      <c r="I1" s="52" t="s">
        <v>232</v>
      </c>
      <c r="J1" s="52" t="s">
        <v>233</v>
      </c>
      <c r="K1" s="52" t="s">
        <v>236</v>
      </c>
      <c r="L1" s="52" t="s">
        <v>243</v>
      </c>
      <c r="M1" s="41" t="s">
        <v>235</v>
      </c>
      <c r="N1" s="21" t="s">
        <v>118</v>
      </c>
      <c r="O1" s="66" t="s">
        <v>312</v>
      </c>
      <c r="P1" s="25" t="s">
        <v>311</v>
      </c>
      <c r="Q1" t="s">
        <v>313</v>
      </c>
      <c r="R1" s="25" t="s">
        <v>314</v>
      </c>
      <c r="S1" s="3" t="s">
        <v>315</v>
      </c>
      <c r="T1" s="3" t="s">
        <v>318</v>
      </c>
      <c r="U1" s="103" t="s">
        <v>316</v>
      </c>
      <c r="V1"/>
      <c r="W1"/>
      <c r="X1"/>
    </row>
    <row r="2" spans="1:24" x14ac:dyDescent="0.2">
      <c r="A2" s="37">
        <v>43897</v>
      </c>
      <c r="B2" s="44" t="s">
        <v>228</v>
      </c>
      <c r="C2" s="44" t="s">
        <v>111</v>
      </c>
      <c r="D2" s="44" t="s">
        <v>111</v>
      </c>
      <c r="E2" s="47" t="s">
        <v>238</v>
      </c>
      <c r="F2" s="50">
        <v>0.68402777777777779</v>
      </c>
      <c r="G2" s="47" t="s">
        <v>238</v>
      </c>
      <c r="H2" s="50">
        <v>0.71875</v>
      </c>
      <c r="I2" s="53">
        <v>1076.5999999999999</v>
      </c>
      <c r="J2" s="53">
        <v>1077.5</v>
      </c>
      <c r="K2" s="53" t="s">
        <v>117</v>
      </c>
      <c r="L2" s="53" t="s">
        <v>244</v>
      </c>
      <c r="M2" s="38" t="s">
        <v>242</v>
      </c>
      <c r="N2" s="21">
        <f>YEAR(tblTrips[[#This Row],[Date]])</f>
        <v>2020</v>
      </c>
      <c r="O2" s="66">
        <f>tblTrips[[#This Row],[ArrHobbs]]-tblTrips[[#This Row],[DepHobbs]]</f>
        <v>0.90000000000009095</v>
      </c>
      <c r="P2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579.41357142859238</v>
      </c>
      <c r="Q2" cm="1">
        <f t="array" ref="Q2">_xlfn.LET(
    _xlpm.hdry, IFERROR(
        _xlfn.XLOOKUP(1,
        (tblDryPrice[Year]= tblTrips[[#This Row],[Year]]) * (tblDryPrice[PilotType]=tblTrips[[#This Row],[PriceType]]),
        tblDryPrice[DryPrice]
        ), "error"),
    _xlpm.hdry
)</f>
        <v>158</v>
      </c>
      <c r="R2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2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61.436521739130434</v>
      </c>
      <c r="T2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1041.3592547143326</v>
      </c>
      <c r="U2" s="102">
        <f xml:space="preserve"> tblTrips[[#This Row],[CTripHobbs]] *
(
    tblTrips[[#This Row],[CHDryPrice]]
  + tblTrips[[#This Row],[CHFuelCostLast]]
  + tblTrips[[#This Row],[CHourVCost]]
)</f>
        <v>280.30746472095439</v>
      </c>
      <c r="V2"/>
      <c r="W2"/>
      <c r="X2"/>
    </row>
    <row r="3" spans="1:24" x14ac:dyDescent="0.2">
      <c r="A3" s="37">
        <v>44083</v>
      </c>
      <c r="B3" s="44" t="s">
        <v>228</v>
      </c>
      <c r="C3" s="44" t="s">
        <v>114</v>
      </c>
      <c r="D3" s="44" t="s">
        <v>114</v>
      </c>
      <c r="E3" s="47" t="s">
        <v>238</v>
      </c>
      <c r="F3" s="50">
        <v>0.71111111111111114</v>
      </c>
      <c r="G3" s="47" t="s">
        <v>238</v>
      </c>
      <c r="H3" s="50">
        <v>0.76736111111111116</v>
      </c>
      <c r="I3" s="53">
        <v>1093.2</v>
      </c>
      <c r="J3" s="53">
        <v>1094.2</v>
      </c>
      <c r="K3" s="53" t="s">
        <v>117</v>
      </c>
      <c r="L3" s="53" t="s">
        <v>246</v>
      </c>
      <c r="M3" s="38" t="s">
        <v>248</v>
      </c>
      <c r="N3" s="21">
        <f>YEAR(tblTrips[[#This Row],[Date]])</f>
        <v>2020</v>
      </c>
      <c r="O3" s="66">
        <f>tblTrips[[#This Row],[ArrHobbs]]-tblTrips[[#This Row],[DepHobbs]]</f>
        <v>1</v>
      </c>
      <c r="P3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643.79285714281536</v>
      </c>
      <c r="Q3" cm="1">
        <f t="array" ref="Q3">_xlfn.LET(
    _xlpm.hdry, IFERROR(
        _xlfn.XLOOKUP(1,
        (tblDryPrice[Year]= tblTrips[[#This Row],[Year]]) * (tblDryPrice[PilotType]=tblTrips[[#This Row],[PriceType]]),
        tblDryPrice[DryPrice]
        ), "error"),
    _xlpm.hdry
)</f>
        <v>158</v>
      </c>
      <c r="R3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3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61.436521739130434</v>
      </c>
      <c r="T3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1157.0658385713637</v>
      </c>
      <c r="U3" s="102">
        <f xml:space="preserve"> tblTrips[[#This Row],[CTripHobbs]] *
(
    tblTrips[[#This Row],[CHDryPrice]]
  + tblTrips[[#This Row],[CHFuelCostLast]]
  + tblTrips[[#This Row],[CHourVCost]]
)</f>
        <v>311.4527385788067</v>
      </c>
      <c r="V3"/>
      <c r="W3"/>
      <c r="X3"/>
    </row>
    <row r="4" spans="1:24" x14ac:dyDescent="0.2">
      <c r="A4" s="37">
        <v>44190</v>
      </c>
      <c r="B4" s="44" t="s">
        <v>228</v>
      </c>
      <c r="C4" s="44" t="s">
        <v>114</v>
      </c>
      <c r="D4" s="44" t="s">
        <v>114</v>
      </c>
      <c r="E4" s="47" t="s">
        <v>238</v>
      </c>
      <c r="F4" s="50">
        <v>0.41319444444444442</v>
      </c>
      <c r="G4" s="47" t="s">
        <v>238</v>
      </c>
      <c r="H4" s="50">
        <v>0.44791666666666669</v>
      </c>
      <c r="I4" s="53">
        <v>1108.3</v>
      </c>
      <c r="J4" s="53">
        <v>1109.2</v>
      </c>
      <c r="K4" s="53" t="s">
        <v>117</v>
      </c>
      <c r="L4" s="53" t="s">
        <v>246</v>
      </c>
      <c r="M4" s="38" t="s">
        <v>249</v>
      </c>
      <c r="N4" s="21">
        <f>YEAR(tblTrips[[#This Row],[Date]])</f>
        <v>2020</v>
      </c>
      <c r="O4" s="66">
        <f>tblTrips[[#This Row],[ArrHobbs]]-tblTrips[[#This Row],[DepHobbs]]</f>
        <v>0.90000000000009095</v>
      </c>
      <c r="P4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579.41357142859238</v>
      </c>
      <c r="Q4" cm="1">
        <f t="array" ref="Q4">_xlfn.LET(
    _xlpm.hdry, IFERROR(
        _xlfn.XLOOKUP(1,
        (tblDryPrice[Year]= tblTrips[[#This Row],[Year]]) * (tblDryPrice[PilotType]=tblTrips[[#This Row],[PriceType]]),
        tblDryPrice[DryPrice]
        ), "error"),
    _xlpm.hdry
)</f>
        <v>158</v>
      </c>
      <c r="R4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4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61.436521739130434</v>
      </c>
      <c r="T4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1041.3592547143326</v>
      </c>
      <c r="U4" s="102">
        <f xml:space="preserve"> tblTrips[[#This Row],[CTripHobbs]] *
(
    tblTrips[[#This Row],[CHDryPrice]]
  + tblTrips[[#This Row],[CHFuelCostLast]]
  + tblTrips[[#This Row],[CHourVCost]]
)</f>
        <v>280.30746472095439</v>
      </c>
      <c r="V4"/>
      <c r="W4"/>
      <c r="X4"/>
    </row>
    <row r="5" spans="1:24" x14ac:dyDescent="0.2">
      <c r="A5" s="37">
        <v>44281</v>
      </c>
      <c r="B5" s="44" t="s">
        <v>228</v>
      </c>
      <c r="C5" s="44" t="s">
        <v>114</v>
      </c>
      <c r="D5" s="44" t="s">
        <v>114</v>
      </c>
      <c r="E5" s="47" t="s">
        <v>238</v>
      </c>
      <c r="F5" s="50">
        <v>0.53611111111111109</v>
      </c>
      <c r="G5" s="47" t="s">
        <v>239</v>
      </c>
      <c r="H5" s="50">
        <v>0.56527777777777777</v>
      </c>
      <c r="I5" s="53">
        <v>1122.5</v>
      </c>
      <c r="J5" s="53">
        <v>1123.4000000000001</v>
      </c>
      <c r="K5" s="53" t="s">
        <v>117</v>
      </c>
      <c r="L5" s="53" t="s">
        <v>244</v>
      </c>
      <c r="M5" s="38" t="s">
        <v>251</v>
      </c>
      <c r="N5" s="21">
        <f>YEAR(tblTrips[[#This Row],[Date]])</f>
        <v>2021</v>
      </c>
      <c r="O5" s="66">
        <f>tblTrips[[#This Row],[ArrHobbs]]-tblTrips[[#This Row],[DepHobbs]]</f>
        <v>0.90000000000009095</v>
      </c>
      <c r="P5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1242.7966666667712</v>
      </c>
      <c r="Q5" cm="1">
        <f t="array" ref="Q5">_xlfn.LET(
    _xlpm.hdry, IFERROR(
        _xlfn.XLOOKUP(1,
        (tblDryPrice[Year]= tblTrips[[#This Row],[Year]]) * (tblDryPrice[PilotType]=tblTrips[[#This Row],[PriceType]]),
        tblDryPrice[DryPrice]
        ), "error"),
    _xlpm.hdry
)</f>
        <v>158</v>
      </c>
      <c r="R5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5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999.06583857136366</v>
      </c>
      <c r="T5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2421.5633333335395</v>
      </c>
      <c r="U5" s="102">
        <f xml:space="preserve"> tblTrips[[#This Row],[CTripHobbs]] *
(
    tblTrips[[#This Row],[CHDryPrice]]
  + tblTrips[[#This Row],[CHFuelCostLast]]
  + tblTrips[[#This Row],[CHourVCost]]
)</f>
        <v>1124.1738498700495</v>
      </c>
      <c r="V5"/>
      <c r="W5"/>
      <c r="X5"/>
    </row>
    <row r="6" spans="1:24" x14ac:dyDescent="0.2">
      <c r="A6" s="37">
        <v>44344</v>
      </c>
      <c r="B6" s="44" t="s">
        <v>228</v>
      </c>
      <c r="C6" s="44" t="s">
        <v>114</v>
      </c>
      <c r="D6" s="44" t="s">
        <v>114</v>
      </c>
      <c r="E6" s="47" t="s">
        <v>239</v>
      </c>
      <c r="F6" s="50">
        <v>0.40625</v>
      </c>
      <c r="G6" s="47" t="s">
        <v>238</v>
      </c>
      <c r="H6" s="50">
        <v>0.42708333333333331</v>
      </c>
      <c r="I6" s="53">
        <v>1139</v>
      </c>
      <c r="J6" s="53">
        <v>1139.5</v>
      </c>
      <c r="K6" s="53" t="s">
        <v>117</v>
      </c>
      <c r="L6" s="53" t="s">
        <v>244</v>
      </c>
      <c r="M6" s="38" t="s">
        <v>252</v>
      </c>
      <c r="N6" s="21">
        <f>YEAR(tblTrips[[#This Row],[Date]])</f>
        <v>2021</v>
      </c>
      <c r="O6" s="66">
        <f>tblTrips[[#This Row],[ArrHobbs]]-tblTrips[[#This Row],[DepHobbs]]</f>
        <v>0.5</v>
      </c>
      <c r="P6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690.44259259258092</v>
      </c>
      <c r="Q6" cm="1">
        <f t="array" ref="Q6">_xlfn.LET(
    _xlpm.hdry, IFERROR(
        _xlfn.XLOOKUP(1,
        (tblDryPrice[Year]= tblTrips[[#This Row],[Year]]) * (tblDryPrice[PilotType]=tblTrips[[#This Row],[PriceType]]),
        tblDryPrice[DryPrice]
        ), "error"),
    _xlpm.hdry
)</f>
        <v>158</v>
      </c>
      <c r="R6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6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999.06583857136366</v>
      </c>
      <c r="T6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1345.3129629629416</v>
      </c>
      <c r="U6" s="102">
        <f xml:space="preserve"> tblTrips[[#This Row],[CTripHobbs]] *
(
    tblTrips[[#This Row],[CHDryPrice]]
  + tblTrips[[#This Row],[CHFuelCostLast]]
  + tblTrips[[#This Row],[CHourVCost]]
)</f>
        <v>624.54102770551992</v>
      </c>
      <c r="V6"/>
      <c r="W6"/>
      <c r="X6"/>
    </row>
    <row r="7" spans="1:24" x14ac:dyDescent="0.2">
      <c r="A7" s="37">
        <v>44433</v>
      </c>
      <c r="B7" s="44" t="s">
        <v>228</v>
      </c>
      <c r="C7" s="44" t="s">
        <v>114</v>
      </c>
      <c r="D7" s="44" t="s">
        <v>114</v>
      </c>
      <c r="E7" s="47" t="s">
        <v>238</v>
      </c>
      <c r="F7" s="50">
        <v>0.33333333333333331</v>
      </c>
      <c r="G7" s="47" t="s">
        <v>250</v>
      </c>
      <c r="H7" s="50">
        <v>0.40347222222222223</v>
      </c>
      <c r="I7" s="53">
        <v>1156.9000000000001</v>
      </c>
      <c r="J7" s="53">
        <v>1158.2</v>
      </c>
      <c r="K7" s="53" t="s">
        <v>117</v>
      </c>
      <c r="L7" s="53" t="s">
        <v>244</v>
      </c>
      <c r="M7" s="38" t="s">
        <v>257</v>
      </c>
      <c r="N7" s="21">
        <f>YEAR(tblTrips[[#This Row],[Date]])</f>
        <v>2021</v>
      </c>
      <c r="O7" s="66">
        <f>tblTrips[[#This Row],[ArrHobbs]]-tblTrips[[#This Row],[DepHobbs]]</f>
        <v>1.2999999999999545</v>
      </c>
      <c r="P7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1795.1507407406475</v>
      </c>
      <c r="Q7" cm="1">
        <f t="array" ref="Q7">_xlfn.LET(
    _xlpm.hdry, IFERROR(
        _xlfn.XLOOKUP(1,
        (tblDryPrice[Year]= tblTrips[[#This Row],[Year]]) * (tblDryPrice[PilotType]=tblTrips[[#This Row],[PriceType]]),
        tblDryPrice[DryPrice]
        ), "error"),
    _xlpm.hdry
)</f>
        <v>158</v>
      </c>
      <c r="R7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7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999.06583857136366</v>
      </c>
      <c r="T7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3497.8137037035253</v>
      </c>
      <c r="U7" s="102">
        <f xml:space="preserve"> tblTrips[[#This Row],[CTripHobbs]] *
(
    tblTrips[[#This Row],[CHDryPrice]]
  + tblTrips[[#This Row],[CHFuelCostLast]]
  + tblTrips[[#This Row],[CHourVCost]]
)</f>
        <v>1623.8066720342949</v>
      </c>
      <c r="V7"/>
      <c r="W7"/>
      <c r="X7"/>
    </row>
    <row r="8" spans="1:24" x14ac:dyDescent="0.2">
      <c r="A8" s="37">
        <v>44591</v>
      </c>
      <c r="B8" s="44" t="s">
        <v>228</v>
      </c>
      <c r="C8" s="44" t="s">
        <v>114</v>
      </c>
      <c r="D8" s="44" t="s">
        <v>114</v>
      </c>
      <c r="E8" s="47" t="s">
        <v>239</v>
      </c>
      <c r="F8" s="50">
        <v>0.4548611111111111</v>
      </c>
      <c r="G8" s="47" t="s">
        <v>238</v>
      </c>
      <c r="H8" s="50">
        <v>0.4826388888888889</v>
      </c>
      <c r="I8" s="53">
        <v>1179.7</v>
      </c>
      <c r="J8" s="53">
        <v>1180.4000000000001</v>
      </c>
      <c r="K8" s="53" t="s">
        <v>117</v>
      </c>
      <c r="L8" s="53" t="s">
        <v>244</v>
      </c>
      <c r="M8" s="38" t="s">
        <v>251</v>
      </c>
      <c r="N8" s="21">
        <f>YEAR(tblTrips[[#This Row],[Date]])</f>
        <v>2022</v>
      </c>
      <c r="O8" s="66">
        <f>tblTrips[[#This Row],[ArrHobbs]]-tblTrips[[#This Row],[DepHobbs]]</f>
        <v>0.70000000000004547</v>
      </c>
      <c r="P8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1129.1269230769697</v>
      </c>
      <c r="Q8" cm="1">
        <f t="array" ref="Q8">_xlfn.LET(
    _xlpm.hdry, IFERROR(
        _xlfn.XLOOKUP(1,
        (tblDryPrice[Year]= tblTrips[[#This Row],[Year]]) * (tblDryPrice[PilotType]=tblTrips[[#This Row],[PriceType]]),
        tblDryPrice[DryPrice]
        ), "error"),
    _xlpm.hdry
)</f>
        <v>158</v>
      </c>
      <c r="R8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8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2532.6259259258832</v>
      </c>
      <c r="T8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3046.3335897437191</v>
      </c>
      <c r="U8" s="102">
        <f xml:space="preserve"> tblTrips[[#This Row],[CTripHobbs]] *
(
    tblTrips[[#This Row],[CHDryPrice]]
  + tblTrips[[#This Row],[CHFuelCostLast]]
  + tblTrips[[#This Row],[CHourVCost]]
)</f>
        <v>1947.8494999360182</v>
      </c>
      <c r="V8"/>
      <c r="W8"/>
      <c r="X8"/>
    </row>
    <row r="9" spans="1:24" x14ac:dyDescent="0.2">
      <c r="A9" s="37">
        <v>44642</v>
      </c>
      <c r="B9" s="44" t="s">
        <v>228</v>
      </c>
      <c r="C9" s="44" t="s">
        <v>111</v>
      </c>
      <c r="D9" s="44" t="s">
        <v>111</v>
      </c>
      <c r="E9" s="47" t="s">
        <v>241</v>
      </c>
      <c r="F9" s="50">
        <v>0.82986111111111116</v>
      </c>
      <c r="G9" s="47" t="s">
        <v>238</v>
      </c>
      <c r="H9" s="50">
        <v>0.86811342592592589</v>
      </c>
      <c r="I9" s="53">
        <v>1196.3</v>
      </c>
      <c r="J9" s="53">
        <v>1197.0999999999999</v>
      </c>
      <c r="K9" s="53" t="s">
        <v>116</v>
      </c>
      <c r="L9" s="53" t="s">
        <v>254</v>
      </c>
      <c r="M9" s="38" t="s">
        <v>271</v>
      </c>
      <c r="N9" s="21">
        <f>YEAR(tblTrips[[#This Row],[Date]])</f>
        <v>2022</v>
      </c>
      <c r="O9" s="66">
        <f>tblTrips[[#This Row],[ArrHobbs]]-tblTrips[[#This Row],[DepHobbs]]</f>
        <v>0.79999999999995453</v>
      </c>
      <c r="P9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1290.4307692306652</v>
      </c>
      <c r="Q9" cm="1">
        <f t="array" ref="Q9">_xlfn.LET(
    _xlpm.hdry, IFERROR(
        _xlfn.XLOOKUP(1,
        (tblDryPrice[Year]= tblTrips[[#This Row],[Year]]) * (tblDryPrice[PilotType]=tblTrips[[#This Row],[PriceType]]),
        tblDryPrice[DryPrice]
        ), "error"),
    _xlpm.hdry
)</f>
        <v>220</v>
      </c>
      <c r="R9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9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2532.6259259258832</v>
      </c>
      <c r="T9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3531.1241025638233</v>
      </c>
      <c r="U9" s="102">
        <f xml:space="preserve"> tblTrips[[#This Row],[CTripHobbs]] *
(
    tblTrips[[#This Row],[CHDryPrice]]
  + tblTrips[[#This Row],[CHFuelCostLast]]
  + tblTrips[[#This Row],[CHourVCost]]
)</f>
        <v>2275.7137142123183</v>
      </c>
      <c r="V9"/>
      <c r="W9"/>
      <c r="X9"/>
    </row>
    <row r="10" spans="1:24" x14ac:dyDescent="0.2">
      <c r="A10" s="37">
        <v>44713</v>
      </c>
      <c r="B10" s="44" t="s">
        <v>228</v>
      </c>
      <c r="C10" s="44" t="s">
        <v>111</v>
      </c>
      <c r="D10" s="44" t="s">
        <v>111</v>
      </c>
      <c r="E10" s="47" t="s">
        <v>238</v>
      </c>
      <c r="F10" s="50">
        <v>0.66666666666666663</v>
      </c>
      <c r="G10" s="47" t="s">
        <v>238</v>
      </c>
      <c r="H10" s="50">
        <v>0.72916666666666663</v>
      </c>
      <c r="I10" s="53">
        <v>1226.2</v>
      </c>
      <c r="J10" s="53">
        <v>1227.4000000000001</v>
      </c>
      <c r="K10" s="53" t="s">
        <v>116</v>
      </c>
      <c r="L10" s="53" t="s">
        <v>244</v>
      </c>
      <c r="M10" s="38" t="s">
        <v>272</v>
      </c>
      <c r="N10" s="21">
        <f>YEAR(tblTrips[[#This Row],[Date]])</f>
        <v>2022</v>
      </c>
      <c r="O10" s="66">
        <f>tblTrips[[#This Row],[ArrHobbs]]-tblTrips[[#This Row],[DepHobbs]]</f>
        <v>1.2000000000000455</v>
      </c>
      <c r="P10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1935.6461538461813</v>
      </c>
      <c r="Q10" cm="1">
        <f t="array" ref="Q10">_xlfn.LET(
    _xlpm.hdry, IFERROR(
        _xlfn.XLOOKUP(1,
        (tblDryPrice[Year]= tblTrips[[#This Row],[Year]]) * (tblDryPrice[PilotType]=tblTrips[[#This Row],[PriceType]]),
        tblDryPrice[DryPrice]
        ), "error"),
    _xlpm.hdry
)</f>
        <v>220</v>
      </c>
      <c r="R10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10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2532.6259259258832</v>
      </c>
      <c r="T10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5296.6861538462363</v>
      </c>
      <c r="U10" s="102">
        <f xml:space="preserve"> tblTrips[[#This Row],[CTripHobbs]] *
(
    tblTrips[[#This Row],[CHDryPrice]]
  + tblTrips[[#This Row],[CHFuelCostLast]]
  + tblTrips[[#This Row],[CHourVCost]]
)</f>
        <v>3413.5705713188008</v>
      </c>
      <c r="V10"/>
      <c r="W10"/>
      <c r="X10"/>
    </row>
    <row r="11" spans="1:24" x14ac:dyDescent="0.2">
      <c r="A11" s="37">
        <v>44719</v>
      </c>
      <c r="B11" s="44" t="s">
        <v>228</v>
      </c>
      <c r="C11" s="44" t="s">
        <v>220</v>
      </c>
      <c r="D11" s="44" t="s">
        <v>220</v>
      </c>
      <c r="E11" s="47" t="s">
        <v>238</v>
      </c>
      <c r="F11" s="50">
        <v>0.33333333333333331</v>
      </c>
      <c r="G11" s="47" t="s">
        <v>238</v>
      </c>
      <c r="H11" s="50">
        <v>0.66666666666666663</v>
      </c>
      <c r="I11" s="53">
        <v>1227.4000000000001</v>
      </c>
      <c r="J11" s="53">
        <v>1227.4000000000001</v>
      </c>
      <c r="K11" s="53" t="s">
        <v>113</v>
      </c>
      <c r="L11" s="53" t="s">
        <v>246</v>
      </c>
      <c r="M11" s="38" t="s">
        <v>255</v>
      </c>
      <c r="N11" s="21">
        <f>YEAR(tblTrips[[#This Row],[Date]])</f>
        <v>2022</v>
      </c>
      <c r="O11" s="66">
        <f>tblTrips[[#This Row],[ArrHobbs]]-tblTrips[[#This Row],[DepHobbs]]</f>
        <v>0</v>
      </c>
      <c r="P11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0</v>
      </c>
      <c r="Q11" cm="1">
        <f t="array" ref="Q11">_xlfn.LET(
    _xlpm.hdry, IFERROR(
        _xlfn.XLOOKUP(1,
        (tblDryPrice[Year]= tblTrips[[#This Row],[Year]]) * (tblDryPrice[PilotType]=tblTrips[[#This Row],[PriceType]]),
        tblDryPrice[DryPrice]
        ), "error"),
    _xlpm.hdry
)</f>
        <v>158</v>
      </c>
      <c r="R11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11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2532.6259259258832</v>
      </c>
      <c r="T11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0</v>
      </c>
      <c r="U11" s="102">
        <f xml:space="preserve"> tblTrips[[#This Row],[CTripHobbs]] *
(
    tblTrips[[#This Row],[CHDryPrice]]
  + tblTrips[[#This Row],[CHFuelCostLast]]
  + tblTrips[[#This Row],[CHourVCost]]
)</f>
        <v>0</v>
      </c>
      <c r="V11"/>
      <c r="W11"/>
      <c r="X11"/>
    </row>
    <row r="12" spans="1:24" x14ac:dyDescent="0.2">
      <c r="A12" s="37">
        <v>44780</v>
      </c>
      <c r="B12" s="44" t="s">
        <v>228</v>
      </c>
      <c r="C12" s="44" t="s">
        <v>111</v>
      </c>
      <c r="D12" s="44" t="s">
        <v>111</v>
      </c>
      <c r="E12" s="47" t="s">
        <v>238</v>
      </c>
      <c r="F12" s="50">
        <v>0.38194444444444442</v>
      </c>
      <c r="G12" s="47" t="s">
        <v>240</v>
      </c>
      <c r="H12" s="50">
        <v>0.43402777777777779</v>
      </c>
      <c r="I12" s="53">
        <v>1261.7</v>
      </c>
      <c r="J12" s="53">
        <v>1262.8</v>
      </c>
      <c r="K12" s="53" t="s">
        <v>117</v>
      </c>
      <c r="L12" s="53" t="s">
        <v>244</v>
      </c>
      <c r="M12" s="38" t="s">
        <v>256</v>
      </c>
      <c r="N12" s="21">
        <f>YEAR(tblTrips[[#This Row],[Date]])</f>
        <v>2022</v>
      </c>
      <c r="O12" s="66">
        <f>tblTrips[[#This Row],[ArrHobbs]]-tblTrips[[#This Row],[DepHobbs]]</f>
        <v>1.0999999999999091</v>
      </c>
      <c r="P12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1774.3423076921188</v>
      </c>
      <c r="Q12" cm="1">
        <f t="array" ref="Q12">_xlfn.LET(
    _xlpm.hdry, IFERROR(
        _xlfn.XLOOKUP(1,
        (tblDryPrice[Year]= tblTrips[[#This Row],[Year]]) * (tblDryPrice[PilotType]=tblTrips[[#This Row],[PriceType]]),
        tblDryPrice[DryPrice]
        ), "error"),
    _xlpm.hdry
)</f>
        <v>158</v>
      </c>
      <c r="R12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12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2532.6259259258832</v>
      </c>
      <c r="T12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4787.0956410251365</v>
      </c>
      <c r="U12" s="102">
        <f xml:space="preserve"> tblTrips[[#This Row],[CTripHobbs]] *
(
    tblTrips[[#This Row],[CHDryPrice]]
  + tblTrips[[#This Row],[CHFuelCostLast]]
  + tblTrips[[#This Row],[CHourVCost]]
)</f>
        <v>3060.9063570418625</v>
      </c>
      <c r="V12"/>
      <c r="W12"/>
      <c r="X12"/>
    </row>
    <row r="13" spans="1:24" x14ac:dyDescent="0.2">
      <c r="A13" s="37">
        <v>44894</v>
      </c>
      <c r="B13" s="44" t="s">
        <v>228</v>
      </c>
      <c r="C13" s="44" t="s">
        <v>220</v>
      </c>
      <c r="D13" s="44" t="s">
        <v>220</v>
      </c>
      <c r="E13" s="47" t="s">
        <v>238</v>
      </c>
      <c r="F13" s="50">
        <v>0.33333333333333331</v>
      </c>
      <c r="G13" s="47" t="s">
        <v>238</v>
      </c>
      <c r="H13" s="50">
        <v>0.41666666666666669</v>
      </c>
      <c r="I13" s="53">
        <v>1294.5999999999999</v>
      </c>
      <c r="J13" s="53">
        <v>1294.7</v>
      </c>
      <c r="K13" s="53" t="s">
        <v>113</v>
      </c>
      <c r="L13" s="53" t="s">
        <v>246</v>
      </c>
      <c r="M13" s="38" t="s">
        <v>273</v>
      </c>
      <c r="N13" s="21">
        <f>YEAR(tblTrips[[#This Row],[Date]])</f>
        <v>2022</v>
      </c>
      <c r="O13" s="66">
        <f>tblTrips[[#This Row],[ArrHobbs]]-tblTrips[[#This Row],[DepHobbs]]</f>
        <v>0.10000000000013642</v>
      </c>
      <c r="P13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161.30384615406237</v>
      </c>
      <c r="Q13" cm="1">
        <f t="array" ref="Q13">_xlfn.LET(
    _xlpm.hdry, IFERROR(
        _xlfn.XLOOKUP(1,
        (tblDryPrice[Year]= tblTrips[[#This Row],[Year]]) * (tblDryPrice[PilotType]=tblTrips[[#This Row],[PriceType]]),
        tblDryPrice[DryPrice]
        ), "error"),
    _xlpm.hdry
)</f>
        <v>158</v>
      </c>
      <c r="R13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13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2532.6259259258832</v>
      </c>
      <c r="T13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435.19051282109666</v>
      </c>
      <c r="U13" s="102">
        <f xml:space="preserve"> tblTrips[[#This Row],[CTripHobbs]] *
(
    tblTrips[[#This Row],[CHDryPrice]]
  + tblTrips[[#This Row],[CHFuelCostLast]]
  + tblTrips[[#This Row],[CHourVCost]]
)</f>
        <v>278.2642142769356</v>
      </c>
      <c r="V13"/>
      <c r="W13"/>
      <c r="X13"/>
    </row>
    <row r="14" spans="1:24" x14ac:dyDescent="0.2">
      <c r="A14" s="37">
        <v>45063</v>
      </c>
      <c r="B14" s="44" t="s">
        <v>228</v>
      </c>
      <c r="C14" s="44" t="s">
        <v>114</v>
      </c>
      <c r="D14" s="44" t="s">
        <v>114</v>
      </c>
      <c r="E14" s="47" t="s">
        <v>265</v>
      </c>
      <c r="F14" s="50">
        <v>0.5</v>
      </c>
      <c r="G14" s="47" t="s">
        <v>266</v>
      </c>
      <c r="H14" s="50">
        <v>0.6020833333333333</v>
      </c>
      <c r="I14" s="53">
        <v>1322.3</v>
      </c>
      <c r="J14" s="53">
        <v>1324.6</v>
      </c>
      <c r="K14" s="53" t="s">
        <v>117</v>
      </c>
      <c r="L14" s="53" t="s">
        <v>244</v>
      </c>
      <c r="M14" s="38" t="s">
        <v>274</v>
      </c>
      <c r="N14" s="21">
        <f>YEAR(tblTrips[[#This Row],[Date]])</f>
        <v>2023</v>
      </c>
      <c r="O14" s="66">
        <f>tblTrips[[#This Row],[ArrHobbs]]-tblTrips[[#This Row],[DepHobbs]]</f>
        <v>2.2999999999999545</v>
      </c>
      <c r="P14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1285.7969879517887</v>
      </c>
      <c r="Q14" cm="1">
        <f t="array" ref="Q14">_xlfn.LET(
    _xlpm.hdry, IFERROR(
        _xlfn.XLOOKUP(1,
        (tblDryPrice[Year]= tblTrips[[#This Row],[Year]]) * (tblDryPrice[PilotType]=tblTrips[[#This Row],[PriceType]]),
        tblDryPrice[DryPrice]
        ), "error"),
    _xlpm.hdry
)</f>
        <v>0</v>
      </c>
      <c r="R14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14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4193.9051282050305</v>
      </c>
      <c r="T14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3169.4110843373041</v>
      </c>
      <c r="U14" s="102">
        <f xml:space="preserve"> tblTrips[[#This Row],[CTripHobbs]] *
(
    tblTrips[[#This Row],[CHDryPrice]]
  + tblTrips[[#This Row],[CHFuelCostLast]]
  + tblTrips[[#This Row],[CHourVCost]]
)</f>
        <v>9857.6190936026305</v>
      </c>
      <c r="V14"/>
      <c r="W14"/>
      <c r="X14"/>
    </row>
    <row r="15" spans="1:24" x14ac:dyDescent="0.2">
      <c r="A15" s="37">
        <v>45094</v>
      </c>
      <c r="B15" s="44" t="s">
        <v>228</v>
      </c>
      <c r="C15" s="44" t="s">
        <v>110</v>
      </c>
      <c r="D15" s="44" t="s">
        <v>110</v>
      </c>
      <c r="E15" s="47" t="s">
        <v>443</v>
      </c>
      <c r="F15" s="50">
        <v>0.59722222222222221</v>
      </c>
      <c r="G15" s="47" t="s">
        <v>238</v>
      </c>
      <c r="H15" s="50">
        <v>0.6645833333333333</v>
      </c>
      <c r="I15" s="53">
        <v>1336.3</v>
      </c>
      <c r="J15" s="53">
        <v>1338.9</v>
      </c>
      <c r="K15" s="53" t="s">
        <v>116</v>
      </c>
      <c r="L15" s="53" t="s">
        <v>244</v>
      </c>
      <c r="M15" s="38" t="s">
        <v>444</v>
      </c>
      <c r="N15" s="82">
        <f>YEAR(tblTrips[[#This Row],[Date]])</f>
        <v>2023</v>
      </c>
      <c r="O15" s="83">
        <f>tblTrips[[#This Row],[ArrHobbs]]-tblTrips[[#This Row],[DepHobbs]]</f>
        <v>2.6000000000001364</v>
      </c>
      <c r="P15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1453.5096385543009</v>
      </c>
      <c r="Q15" cm="1">
        <f t="array" ref="Q15">_xlfn.LET(
    _xlpm.hdry, IFERROR(
        _xlfn.XLOOKUP(1,
        (tblDryPrice[Year]= tblTrips[[#This Row],[Year]]) * (tblDryPrice[PilotType]=tblTrips[[#This Row],[PriceType]]),
        tblDryPrice[DryPrice]
        ), "error"),
    _xlpm.hdry
)</f>
        <v>220</v>
      </c>
      <c r="R15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15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4193.9051282050305</v>
      </c>
      <c r="T15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4154.8125301207201</v>
      </c>
      <c r="U15" s="102">
        <f xml:space="preserve"> tblTrips[[#This Row],[CTripHobbs]] *
(
    tblTrips[[#This Row],[CHDryPrice]]
  + tblTrips[[#This Row],[CHFuelCostLast]]
  + tblTrips[[#This Row],[CHourVCost]]
)</f>
        <v>11715.395497116853</v>
      </c>
      <c r="V15"/>
      <c r="W15"/>
      <c r="X15"/>
    </row>
    <row r="16" spans="1:24" x14ac:dyDescent="0.2">
      <c r="A16" s="37">
        <v>45134</v>
      </c>
      <c r="B16" s="44" t="s">
        <v>228</v>
      </c>
      <c r="C16" s="44" t="s">
        <v>114</v>
      </c>
      <c r="D16" s="44" t="s">
        <v>114</v>
      </c>
      <c r="E16" s="47" t="s">
        <v>267</v>
      </c>
      <c r="F16" s="50">
        <v>0.39999999999999997</v>
      </c>
      <c r="G16" s="47" t="s">
        <v>238</v>
      </c>
      <c r="H16" s="50">
        <v>0.55208333333333337</v>
      </c>
      <c r="I16" s="53">
        <v>1354.2</v>
      </c>
      <c r="J16" s="53">
        <v>1357.6</v>
      </c>
      <c r="K16" s="53" t="s">
        <v>117</v>
      </c>
      <c r="L16" s="53" t="s">
        <v>244</v>
      </c>
      <c r="M16" s="38" t="s">
        <v>275</v>
      </c>
      <c r="N16" s="21">
        <f>YEAR(tblTrips[[#This Row],[Date]])</f>
        <v>2023</v>
      </c>
      <c r="O16" s="66">
        <f>tblTrips[[#This Row],[ArrHobbs]]-tblTrips[[#This Row],[DepHobbs]]</f>
        <v>3.3999999999998636</v>
      </c>
      <c r="P16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1900.7433734939098</v>
      </c>
      <c r="Q16" cm="1">
        <f t="array" ref="Q16">_xlfn.LET(
    _xlpm.hdry, IFERROR(
        _xlfn.XLOOKUP(1,
        (tblDryPrice[Year]= tblTrips[[#This Row],[Year]]) * (tblDryPrice[PilotType]=tblTrips[[#This Row],[PriceType]]),
        tblDryPrice[DryPrice]
        ), "error"),
    _xlpm.hdry
)</f>
        <v>0</v>
      </c>
      <c r="R16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16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4193.9051282050305</v>
      </c>
      <c r="T16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4685.2163855420058</v>
      </c>
      <c r="U16" s="102">
        <f xml:space="preserve"> tblTrips[[#This Row],[CTripHobbs]] *
(
    tblTrips[[#This Row],[CHDryPrice]]
  + tblTrips[[#This Row],[CHFuelCostLast]]
  + tblTrips[[#This Row],[CHourVCost]]
)</f>
        <v>14572.132573151419</v>
      </c>
      <c r="V16"/>
      <c r="W16"/>
      <c r="X16"/>
    </row>
    <row r="17" spans="1:24" x14ac:dyDescent="0.2">
      <c r="A17" s="37">
        <v>45373</v>
      </c>
      <c r="B17" s="44" t="s">
        <v>228</v>
      </c>
      <c r="C17" s="44" t="s">
        <v>114</v>
      </c>
      <c r="D17" s="44" t="s">
        <v>114</v>
      </c>
      <c r="E17" s="47" t="s">
        <v>238</v>
      </c>
      <c r="F17" s="50">
        <v>0.52430555555555558</v>
      </c>
      <c r="G17" s="47" t="s">
        <v>239</v>
      </c>
      <c r="H17" s="50">
        <v>0.59305555555555556</v>
      </c>
      <c r="I17" s="53">
        <v>1382.3</v>
      </c>
      <c r="J17" s="53">
        <v>1383.9</v>
      </c>
      <c r="K17" s="53" t="s">
        <v>117</v>
      </c>
      <c r="L17" s="53" t="s">
        <v>244</v>
      </c>
      <c r="M17" s="38" t="s">
        <v>270</v>
      </c>
      <c r="N17" s="21">
        <f>YEAR(tblTrips[[#This Row],[Date]])</f>
        <v>2024</v>
      </c>
      <c r="O17" s="66">
        <f>tblTrips[[#This Row],[ArrHobbs]]-tblTrips[[#This Row],[DepHobbs]]</f>
        <v>1.6000000000001364</v>
      </c>
      <c r="P17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1751.6463157895391</v>
      </c>
      <c r="Q17" cm="1">
        <f t="array" ref="Q17">_xlfn.LET(
    _xlpm.hdry, IFERROR(
        _xlfn.XLOOKUP(1,
        (tblDryPrice[Year]= tblTrips[[#This Row],[Year]]) * (tblDryPrice[PilotType]=tblTrips[[#This Row],[PriceType]]),
        tblDryPrice[DryPrice]
        ), "error"),
    _xlpm.hdry
)</f>
        <v>0</v>
      </c>
      <c r="R17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17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1378.004819277116</v>
      </c>
      <c r="T17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4124.280673684365</v>
      </c>
      <c r="U17" s="102">
        <f xml:space="preserve"> tblTrips[[#This Row],[CTripHobbs]] *
(
    tblTrips[[#This Row],[CHDryPrice]]
  + tblTrips[[#This Row],[CHFuelCostLast]]
  + tblTrips[[#This Row],[CHourVCost]]
)</f>
        <v>2352.033657787068</v>
      </c>
      <c r="V17"/>
      <c r="W17"/>
      <c r="X17"/>
    </row>
    <row r="18" spans="1:24" x14ac:dyDescent="0.2">
      <c r="A18" s="37">
        <v>45515</v>
      </c>
      <c r="B18" s="44" t="s">
        <v>228</v>
      </c>
      <c r="C18" s="44" t="s">
        <v>114</v>
      </c>
      <c r="D18" s="44" t="s">
        <v>112</v>
      </c>
      <c r="E18" s="47" t="s">
        <v>258</v>
      </c>
      <c r="F18" s="50">
        <v>0.58333333333333337</v>
      </c>
      <c r="G18" s="47" t="s">
        <v>238</v>
      </c>
      <c r="H18" s="50">
        <v>0.65694444444444444</v>
      </c>
      <c r="I18" s="53">
        <v>1415</v>
      </c>
      <c r="J18" s="53">
        <v>1416.7</v>
      </c>
      <c r="K18" s="53" t="s">
        <v>116</v>
      </c>
      <c r="L18" s="53" t="s">
        <v>244</v>
      </c>
      <c r="M18" s="38" t="s">
        <v>276</v>
      </c>
      <c r="N18" s="21">
        <f>YEAR(tblTrips[[#This Row],[Date]])</f>
        <v>2024</v>
      </c>
      <c r="O18" s="66">
        <f>tblTrips[[#This Row],[ArrHobbs]]-tblTrips[[#This Row],[DepHobbs]]</f>
        <v>1.7000000000000455</v>
      </c>
      <c r="P18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1861.1242105262763</v>
      </c>
      <c r="Q18" cm="1">
        <f t="array" ref="Q18">_xlfn.LET(
    _xlpm.hdry, IFERROR(
        _xlfn.XLOOKUP(1,
        (tblDryPrice[Year]= tblTrips[[#This Row],[Year]]) * (tblDryPrice[PilotType]=tblTrips[[#This Row],[PriceType]]),
        tblDryPrice[DryPrice]
        ), "error"),
    _xlpm.hdry
)</f>
        <v>220</v>
      </c>
      <c r="R18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18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1378.004819277116</v>
      </c>
      <c r="T18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4756.0482157893912</v>
      </c>
      <c r="U18" s="102">
        <f xml:space="preserve"> tblTrips[[#This Row],[CTripHobbs]] *
(
    tblTrips[[#This Row],[CHDryPrice]]
  + tblTrips[[#This Row],[CHFuelCostLast]]
  + tblTrips[[#This Row],[CHourVCost]]
)</f>
        <v>2873.0357613986234</v>
      </c>
      <c r="V18"/>
      <c r="W18"/>
      <c r="X18"/>
    </row>
    <row r="19" spans="1:24" x14ac:dyDescent="0.2">
      <c r="A19" s="37">
        <v>45625</v>
      </c>
      <c r="B19" s="44" t="s">
        <v>228</v>
      </c>
      <c r="C19" s="44" t="s">
        <v>114</v>
      </c>
      <c r="D19" s="44" t="s">
        <v>114</v>
      </c>
      <c r="E19" s="47" t="s">
        <v>239</v>
      </c>
      <c r="F19" s="50">
        <v>0.83819444444444446</v>
      </c>
      <c r="G19" s="47" t="s">
        <v>238</v>
      </c>
      <c r="H19" s="50">
        <v>0.86111111111111116</v>
      </c>
      <c r="I19" s="53">
        <v>1451.2</v>
      </c>
      <c r="J19" s="53">
        <v>1451.7</v>
      </c>
      <c r="K19" s="53" t="s">
        <v>117</v>
      </c>
      <c r="L19" s="53" t="s">
        <v>244</v>
      </c>
      <c r="M19" s="38" t="s">
        <v>277</v>
      </c>
      <c r="N19" s="21">
        <f>YEAR(tblTrips[[#This Row],[Date]])</f>
        <v>2024</v>
      </c>
      <c r="O19" s="66">
        <f>tblTrips[[#This Row],[ArrHobbs]]-tblTrips[[#This Row],[DepHobbs]]</f>
        <v>0.5</v>
      </c>
      <c r="P19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547.38947368418428</v>
      </c>
      <c r="Q19" cm="1">
        <f t="array" ref="Q19">_xlfn.LET(
    _xlpm.hdry, IFERROR(
        _xlfn.XLOOKUP(1,
        (tblDryPrice[Year]= tblTrips[[#This Row],[Year]]) * (tblDryPrice[PilotType]=tblTrips[[#This Row],[PriceType]]),
        tblDryPrice[DryPrice]
        ), "error"),
    _xlpm.hdry
)</f>
        <v>0</v>
      </c>
      <c r="R19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19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1378.004819277116</v>
      </c>
      <c r="T19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1288.8377105262541</v>
      </c>
      <c r="U19" s="102">
        <f xml:space="preserve"> tblTrips[[#This Row],[CTripHobbs]] *
(
    tblTrips[[#This Row],[CHDryPrice]]
  + tblTrips[[#This Row],[CHFuelCostLast]]
  + tblTrips[[#This Row],[CHourVCost]]
)</f>
        <v>735.01051805839609</v>
      </c>
      <c r="V19"/>
      <c r="W19"/>
      <c r="X19"/>
    </row>
    <row r="20" spans="1:24" x14ac:dyDescent="0.2">
      <c r="A20" s="37">
        <v>45829</v>
      </c>
      <c r="B20" s="44" t="s">
        <v>228</v>
      </c>
      <c r="C20" s="44" t="s">
        <v>114</v>
      </c>
      <c r="D20" s="44" t="s">
        <v>114</v>
      </c>
      <c r="E20" s="47" t="s">
        <v>238</v>
      </c>
      <c r="F20" s="50">
        <v>0.39583333333333331</v>
      </c>
      <c r="G20" s="47" t="s">
        <v>268</v>
      </c>
      <c r="H20" s="50">
        <v>0.48333333333333334</v>
      </c>
      <c r="I20" s="53">
        <v>1481</v>
      </c>
      <c r="J20" s="53">
        <v>1483.1</v>
      </c>
      <c r="K20" s="53" t="s">
        <v>117</v>
      </c>
      <c r="L20" s="53" t="s">
        <v>253</v>
      </c>
      <c r="M20" s="38" t="s">
        <v>278</v>
      </c>
      <c r="N20" s="21">
        <f>YEAR(tblTrips[[#This Row],[Date]])</f>
        <v>2025</v>
      </c>
      <c r="O20" s="66">
        <f>tblTrips[[#This Row],[ArrHobbs]]-tblTrips[[#This Row],[DepHobbs]]</f>
        <v>2.0999999999999091</v>
      </c>
      <c r="P20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1876.5646666666805</v>
      </c>
      <c r="Q20" cm="1">
        <f t="array" ref="Q20">_xlfn.LET(
    _xlpm.hdry, IFERROR(
        _xlfn.XLOOKUP(1,
        (tblDryPrice[Year]= tblTrips[[#This Row],[Year]]) * (tblDryPrice[PilotType]=tblTrips[[#This Row],[PriceType]]),
        tblDryPrice[DryPrice]
        ), "error"),
    _xlpm.hdry
)</f>
        <v>0</v>
      </c>
      <c r="R20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20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2577.6754210525082</v>
      </c>
      <c r="T20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4115.1964000000289</v>
      </c>
      <c r="U20" s="102">
        <f xml:space="preserve"> tblTrips[[#This Row],[CTripHobbs]] *
(
    tblTrips[[#This Row],[CHDryPrice]]
  + tblTrips[[#This Row],[CHFuelCostLast]]
  + tblTrips[[#This Row],[CHourVCost]]
)</f>
        <v>5606.3524395733448</v>
      </c>
      <c r="V20"/>
      <c r="W20"/>
      <c r="X20"/>
    </row>
    <row r="21" spans="1:24" x14ac:dyDescent="0.2">
      <c r="A21" s="37">
        <v>45927</v>
      </c>
      <c r="B21" s="44" t="s">
        <v>228</v>
      </c>
      <c r="C21" s="44" t="s">
        <v>114</v>
      </c>
      <c r="D21" s="44" t="s">
        <v>114</v>
      </c>
      <c r="E21" s="47" t="s">
        <v>238</v>
      </c>
      <c r="F21" s="50">
        <v>0.37847222222222221</v>
      </c>
      <c r="G21" s="47" t="s">
        <v>269</v>
      </c>
      <c r="H21" s="50">
        <v>0.48472222222222222</v>
      </c>
      <c r="I21" s="53">
        <v>1523.2</v>
      </c>
      <c r="J21" s="53">
        <v>1525.6</v>
      </c>
      <c r="K21" s="53" t="s">
        <v>117</v>
      </c>
      <c r="L21" s="53" t="s">
        <v>254</v>
      </c>
      <c r="M21" s="38" t="s">
        <v>279</v>
      </c>
      <c r="N21" s="21">
        <f>YEAR(tblTrips[[#This Row],[Date]])</f>
        <v>2025</v>
      </c>
      <c r="O21" s="66">
        <f>tblTrips[[#This Row],[ArrHobbs]]-tblTrips[[#This Row],[DepHobbs]]</f>
        <v>2.3999999999998636</v>
      </c>
      <c r="P21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2144.6453333333202</v>
      </c>
      <c r="Q21" cm="1">
        <f t="array" ref="Q21">_xlfn.LET(
    _xlpm.hdry, IFERROR(
        _xlfn.XLOOKUP(1,
        (tblDryPrice[Year]= tblTrips[[#This Row],[Year]]) * (tblDryPrice[PilotType]=tblTrips[[#This Row],[PriceType]]),
        tblDryPrice[DryPrice]
        ), "error"),
    _xlpm.hdry
)</f>
        <v>0</v>
      </c>
      <c r="R21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21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2577.6754210525082</v>
      </c>
      <c r="T21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4703.0815999999695</v>
      </c>
      <c r="U21" s="102">
        <f xml:space="preserve"> tblTrips[[#This Row],[CTripHobbs]] *
(
    tblTrips[[#This Row],[CHDryPrice]]
  + tblTrips[[#This Row],[CHFuelCostLast]]
  + tblTrips[[#This Row],[CHourVCost]]
)</f>
        <v>6407.2599309408788</v>
      </c>
      <c r="V21"/>
      <c r="W21"/>
      <c r="X21"/>
    </row>
    <row r="22" spans="1:24" x14ac:dyDescent="0.2">
      <c r="A22" s="37">
        <v>46023</v>
      </c>
      <c r="B22" s="44" t="s">
        <v>228</v>
      </c>
      <c r="C22" s="44" t="s">
        <v>114</v>
      </c>
      <c r="D22" s="44" t="s">
        <v>114</v>
      </c>
      <c r="E22" s="47" t="s">
        <v>238</v>
      </c>
      <c r="F22" s="50"/>
      <c r="G22" s="47" t="s">
        <v>238</v>
      </c>
      <c r="H22" s="50"/>
      <c r="I22" s="53">
        <v>1535</v>
      </c>
      <c r="J22" s="53">
        <v>1535.01</v>
      </c>
      <c r="K22" s="53" t="s">
        <v>117</v>
      </c>
      <c r="L22" s="53" t="s">
        <v>246</v>
      </c>
      <c r="M22" s="38" t="s">
        <v>289</v>
      </c>
      <c r="N22" s="21">
        <f>YEAR(tblTrips[[#This Row],[Date]])</f>
        <v>2026</v>
      </c>
      <c r="O22" s="66">
        <f>tblTrips[[#This Row],[ArrHobbs]]-tblTrips[[#This Row],[DepHobbs]]</f>
        <v>9.9999999999909051E-3</v>
      </c>
      <c r="P22" s="25">
        <f>_xlfn.LET(
    _xlpm.SumFuel, IFERROR(GETPIVOTDATA("Sum of volAVGAS_L",Pivots!C$26, "Year", tblTrips[[#This Row],[Year]]), "error"),
    _xlpm.SumHobbs, IFERROR(GETPIVOTDATA("Sum of CTripHobbs", Pivots!$D$33, "Year", tblTrips[[#This Row],[Year]]), "error"),
    _xlpm.AvHFuel, IFERROR(_xlpm.SumFuel / _xlpm.SumHobbs, 0),
    _xlpm.AvHFuel * tblTrips[[#This Row],[CTripHobbs]]
)</f>
        <v>3.7037037037037034E-3</v>
      </c>
      <c r="Q22" cm="1">
        <f t="array" ref="Q22">_xlfn.LET(
    _xlpm.hdry, IFERROR(
        _xlfn.XLOOKUP(1,
        (tblDryPrice[Year]= tblTrips[[#This Row],[Year]]) * (tblDryPrice[PilotType]=tblTrips[[#This Row],[PriceType]]),
        tblDryPrice[DryPrice]
        ), "error"),
    _xlpm.hdry
)</f>
        <v>0</v>
      </c>
      <c r="R22" s="25">
        <f>_xlfn.LET(
    _xlpm.SumV, GETPIVOTDATA( "AmountOut", Pivots!$B$39, "CategoryGroup", "V"),
    _xlpm.SumH, GETPIVOTDATA("Sum of CTripHobbs", Pivots!$D$33),
    _xlpm.hv, IFERROR(_xlpm.SumV / _xlpm.SumH,"error"),
    _xlpm.hv
)</f>
        <v>92.016216839676275</v>
      </c>
      <c r="S22" s="3">
        <f>_xlfn.LET(
    _xlpm.sumFL, IFERROR(GETPIVOTDATA("Sum of TTCAmount", Pivots!C$26,"Year", tblTrips[[#This Row],[Year]] -1), "error"),
    _xlpm.sumHL, IF(tblTrips[[#This Row],[Year]]&gt;2020, IFERROR(GETPIVOTDATA("Sum of CTripHobbs", Pivots!$D$33, "Year", tblTrips[[#This Row],[Year]] -1), "error"), 11.5),
    _xlpm.hfl, _xlpm.sumFL / _xlpm.sumHL,
  _xlpm.hfl
)</f>
        <v>1959.617333333432</v>
      </c>
      <c r="T22" s="3">
        <f>_xlfn.LET(_xlpm.fuel_price,
        IFERROR(GETPIVOTDATA("Sum of TTCAmount", Pivots!$C$26, "Year", tblTrips[[#This Row],[Year]]) /
            GETPIVOTDATA("Sum of volAVGAS_L", Pivots!$C$26, "Year", tblTrips[[#This Row],[Year]]), 0
        ),
    (tblTrips[[#This Row],[CTripVolFuel]] * _xlpm.fuel_price) + (tblTrips[[#This Row],[CTripHobbs]] * tblTrips[[#This Row],[CHDryPrice]])
    + IF(tblTrips[[#This Row],[Year]] &gt;= 2026, tblTrips[[#This Row],[CTripHobbs]] * tblTrips[[#This Row],[CHourVCost]], 0)
)</f>
        <v>0.93016216839592591</v>
      </c>
      <c r="U22" s="102">
        <f xml:space="preserve"> tblTrips[[#This Row],[CTripHobbs]] *
(
    tblTrips[[#This Row],[CHDryPrice]]
  + tblTrips[[#This Row],[CHFuelCostLast]]
  + tblTrips[[#This Row],[CHourVCost]]
)</f>
        <v>20.516335501712422</v>
      </c>
      <c r="V22"/>
      <c r="W22"/>
      <c r="X22"/>
    </row>
    <row r="23" spans="1:24" x14ac:dyDescent="0.2">
      <c r="A23" s="37"/>
      <c r="B23" s="37"/>
      <c r="C23" s="44"/>
      <c r="D23" s="44"/>
      <c r="E23" s="47"/>
      <c r="F23" s="50"/>
      <c r="G23" s="47"/>
      <c r="H23" s="50"/>
      <c r="I23" s="53"/>
      <c r="J23" s="53"/>
      <c r="K23" s="53"/>
      <c r="L23" s="53"/>
      <c r="N23" s="55"/>
      <c r="O23" s="38"/>
      <c r="P23" s="81"/>
      <c r="Q23" s="82"/>
      <c r="R23" s="83"/>
    </row>
  </sheetData>
  <phoneticPr fontId="8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6995BC8-109E-0448-AC2E-4540C9BB3DC0}">
          <x14:formula1>
            <xm:f>Params!$D$48:$D$53</xm:f>
          </x14:formula1>
          <xm:sqref>C2:D14 C16:D22</xm:sqref>
        </x14:dataValidation>
        <x14:dataValidation type="list" allowBlank="1" showInputMessage="1" showErrorMessage="1" xr:uid="{B17D33B6-6892-0142-BBF7-471695555CA7}">
          <x14:formula1>
            <xm:f>Params!$D$94:$D$98</xm:f>
          </x14:formula1>
          <xm:sqref>K2:K14 K16:K22</xm:sqref>
        </x14:dataValidation>
        <x14:dataValidation type="list" allowBlank="1" showInputMessage="1" showErrorMessage="1" xr:uid="{B16C4E61-D8F8-FF44-A925-4CA6D96924FF}">
          <x14:formula1>
            <xm:f>Params!$C$42:$C$46</xm:f>
          </x14:formula1>
          <xm:sqref>L2:L14 L16:L22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D719-8669-F845-92ED-7C5679E4CA2A}">
  <dimension ref="A1:F465"/>
  <sheetViews>
    <sheetView zoomScale="120" zoomScaleNormal="120" workbookViewId="0">
      <pane xSplit="2" ySplit="1" topLeftCell="C2" activePane="bottomRight" state="frozenSplit"/>
      <selection activeCell="C690" sqref="C690"/>
      <selection pane="topRight" activeCell="C690" sqref="C690"/>
      <selection pane="bottomLeft" activeCell="C690" sqref="C690"/>
      <selection pane="bottomRight" activeCell="A14" sqref="A14:XFD23"/>
    </sheetView>
  </sheetViews>
  <sheetFormatPr baseColWidth="10" defaultRowHeight="16" x14ac:dyDescent="0.2"/>
  <cols>
    <col min="1" max="1" width="12" style="1" customWidth="1"/>
    <col min="2" max="2" width="50" customWidth="1"/>
    <col min="3" max="3" width="15.83203125" bestFit="1" customWidth="1"/>
    <col min="4" max="4" width="11.6640625" bestFit="1" customWidth="1"/>
    <col min="5" max="5" width="14.33203125" customWidth="1"/>
    <col min="6" max="6" width="10.5" customWidth="1"/>
    <col min="9" max="9" width="9" bestFit="1" customWidth="1"/>
  </cols>
  <sheetData>
    <row r="1" spans="1:6" x14ac:dyDescent="0.2">
      <c r="A1" s="71" t="s">
        <v>1</v>
      </c>
      <c r="B1" s="72" t="s">
        <v>260</v>
      </c>
      <c r="C1" s="71" t="s">
        <v>219</v>
      </c>
      <c r="D1" s="72" t="s">
        <v>223</v>
      </c>
      <c r="E1" t="s">
        <v>118</v>
      </c>
    </row>
    <row r="2" spans="1:6" x14ac:dyDescent="0.2">
      <c r="A2" s="74">
        <v>44315</v>
      </c>
      <c r="B2" s="68" t="s">
        <v>193</v>
      </c>
      <c r="C2" s="69" t="s">
        <v>114</v>
      </c>
      <c r="D2" s="70">
        <v>361.24</v>
      </c>
      <c r="E2" s="1">
        <f>YEAR(tblContribs[[#This Row],[Date]])</f>
        <v>2021</v>
      </c>
    </row>
    <row r="3" spans="1:6" x14ac:dyDescent="0.2">
      <c r="A3" s="74">
        <v>44318</v>
      </c>
      <c r="B3" s="68" t="s">
        <v>192</v>
      </c>
      <c r="C3" s="69" t="s">
        <v>114</v>
      </c>
      <c r="D3" s="70">
        <v>3000</v>
      </c>
      <c r="E3" s="1">
        <f>YEAR(tblContribs[[#This Row],[Date]])</f>
        <v>2021</v>
      </c>
    </row>
    <row r="4" spans="1:6" x14ac:dyDescent="0.2">
      <c r="A4" s="74">
        <v>44670</v>
      </c>
      <c r="B4" s="68" t="s">
        <v>194</v>
      </c>
      <c r="C4" s="69" t="s">
        <v>114</v>
      </c>
      <c r="D4" s="70">
        <v>354.24</v>
      </c>
      <c r="E4" s="1">
        <f>YEAR(tblContribs[[#This Row],[Date]])</f>
        <v>2022</v>
      </c>
    </row>
    <row r="5" spans="1:6" x14ac:dyDescent="0.2">
      <c r="A5" s="74">
        <v>44811</v>
      </c>
      <c r="B5" s="68" t="s">
        <v>195</v>
      </c>
      <c r="C5" s="69" t="s">
        <v>114</v>
      </c>
      <c r="D5" s="70">
        <v>3000</v>
      </c>
      <c r="E5" s="1">
        <f>YEAR(tblContribs[[#This Row],[Date]])</f>
        <v>2022</v>
      </c>
    </row>
    <row r="6" spans="1:6" x14ac:dyDescent="0.2">
      <c r="A6" s="74">
        <v>44938</v>
      </c>
      <c r="B6" s="68" t="s">
        <v>196</v>
      </c>
      <c r="C6" s="69" t="s">
        <v>220</v>
      </c>
      <c r="D6" s="70">
        <v>347.44</v>
      </c>
      <c r="E6" s="1">
        <f>YEAR(tblContribs[[#This Row],[Date]])</f>
        <v>2023</v>
      </c>
    </row>
    <row r="7" spans="1:6" x14ac:dyDescent="0.2">
      <c r="A7" s="74">
        <v>45112</v>
      </c>
      <c r="B7" s="68" t="s">
        <v>197</v>
      </c>
      <c r="C7" s="69" t="s">
        <v>114</v>
      </c>
      <c r="D7" s="70">
        <v>1500</v>
      </c>
      <c r="E7" s="1">
        <f>YEAR(tblContribs[[#This Row],[Date]])</f>
        <v>2023</v>
      </c>
    </row>
    <row r="8" spans="1:6" x14ac:dyDescent="0.2">
      <c r="A8" s="74">
        <v>45172</v>
      </c>
      <c r="B8" s="68" t="s">
        <v>198</v>
      </c>
      <c r="C8" s="69" t="s">
        <v>114</v>
      </c>
      <c r="D8" s="70">
        <v>1500</v>
      </c>
      <c r="E8" s="1">
        <f>YEAR(tblContribs[[#This Row],[Date]])</f>
        <v>2023</v>
      </c>
    </row>
    <row r="9" spans="1:6" x14ac:dyDescent="0.2">
      <c r="A9" s="74">
        <v>45179</v>
      </c>
      <c r="B9" s="68" t="s">
        <v>199</v>
      </c>
      <c r="C9" s="69" t="s">
        <v>111</v>
      </c>
      <c r="D9" s="70">
        <v>67.790000000000006</v>
      </c>
      <c r="E9" s="1">
        <f>YEAR(tblContribs[[#This Row],[Date]])</f>
        <v>2023</v>
      </c>
    </row>
    <row r="10" spans="1:6" x14ac:dyDescent="0.2">
      <c r="A10" s="74">
        <v>45446</v>
      </c>
      <c r="B10" s="68" t="s">
        <v>200</v>
      </c>
      <c r="C10" s="69" t="s">
        <v>114</v>
      </c>
      <c r="D10" s="70">
        <v>1500</v>
      </c>
      <c r="E10" s="1">
        <f>YEAR(tblContribs[[#This Row],[Date]])</f>
        <v>2024</v>
      </c>
    </row>
    <row r="11" spans="1:6" x14ac:dyDescent="0.2">
      <c r="A11" s="74">
        <v>45530</v>
      </c>
      <c r="B11" s="68" t="s">
        <v>201</v>
      </c>
      <c r="C11" s="69" t="s">
        <v>114</v>
      </c>
      <c r="D11" s="70">
        <v>46.5</v>
      </c>
      <c r="E11" s="1">
        <f>YEAR(tblContribs[[#This Row],[Date]])</f>
        <v>2024</v>
      </c>
    </row>
    <row r="12" spans="1:6" x14ac:dyDescent="0.2">
      <c r="A12" s="74">
        <v>45750</v>
      </c>
      <c r="B12" s="68" t="s">
        <v>203</v>
      </c>
      <c r="C12" s="69" t="s">
        <v>114</v>
      </c>
      <c r="D12" s="70">
        <v>3000</v>
      </c>
      <c r="E12" s="1">
        <f>YEAR(tblContribs[[#This Row],[Date]])</f>
        <v>2025</v>
      </c>
    </row>
    <row r="13" spans="1:6" x14ac:dyDescent="0.2">
      <c r="A13" s="74">
        <v>45901</v>
      </c>
      <c r="B13" s="68" t="s">
        <v>204</v>
      </c>
      <c r="C13" s="69" t="s">
        <v>114</v>
      </c>
      <c r="D13" s="70">
        <v>3000</v>
      </c>
      <c r="E13" s="1">
        <f>YEAR(tblContribs[[#This Row],[Date]])</f>
        <v>2025</v>
      </c>
    </row>
    <row r="14" spans="1:6" x14ac:dyDescent="0.2">
      <c r="A14" s="74">
        <v>46001</v>
      </c>
      <c r="B14" s="68" t="s">
        <v>202</v>
      </c>
      <c r="C14" s="69" t="s">
        <v>112</v>
      </c>
      <c r="D14" s="70">
        <v>-350</v>
      </c>
      <c r="E14" s="1">
        <f>YEAR(tblContribs[[#This Row],[Date]])</f>
        <v>2025</v>
      </c>
    </row>
    <row r="15" spans="1:6" x14ac:dyDescent="0.2">
      <c r="A15" s="74">
        <v>46024</v>
      </c>
      <c r="B15" s="68" t="s">
        <v>205</v>
      </c>
      <c r="C15" s="69" t="s">
        <v>114</v>
      </c>
      <c r="D15" s="70">
        <v>3000</v>
      </c>
      <c r="E15" s="1">
        <f>YEAR(tblContribs[[#This Row],[Date]])</f>
        <v>2026</v>
      </c>
    </row>
    <row r="16" spans="1:6" x14ac:dyDescent="0.2">
      <c r="A16" s="73"/>
      <c r="F16" s="1"/>
    </row>
    <row r="17" spans="1:6" x14ac:dyDescent="0.2">
      <c r="A17" s="73"/>
      <c r="F17" s="1"/>
    </row>
    <row r="18" spans="1:6" x14ac:dyDescent="0.2">
      <c r="A18" s="73"/>
      <c r="F18" s="1"/>
    </row>
    <row r="19" spans="1:6" x14ac:dyDescent="0.2">
      <c r="A19" s="73"/>
      <c r="F19" s="1"/>
    </row>
    <row r="20" spans="1:6" x14ac:dyDescent="0.2">
      <c r="A20" s="73"/>
      <c r="F20" s="1"/>
    </row>
    <row r="21" spans="1:6" x14ac:dyDescent="0.2">
      <c r="A21" s="73"/>
      <c r="F21" s="1"/>
    </row>
    <row r="22" spans="1:6" x14ac:dyDescent="0.2">
      <c r="A22" s="73"/>
      <c r="F22" s="1"/>
    </row>
    <row r="23" spans="1:6" x14ac:dyDescent="0.2">
      <c r="A23" s="73"/>
      <c r="F23" s="1"/>
    </row>
    <row r="24" spans="1:6" x14ac:dyDescent="0.2">
      <c r="A24" s="73"/>
      <c r="F24" s="1"/>
    </row>
    <row r="25" spans="1:6" x14ac:dyDescent="0.2">
      <c r="A25" s="73"/>
      <c r="F25" s="1"/>
    </row>
    <row r="26" spans="1:6" x14ac:dyDescent="0.2">
      <c r="A26" s="73"/>
      <c r="F26" s="1"/>
    </row>
    <row r="27" spans="1:6" x14ac:dyDescent="0.2">
      <c r="A27" s="73"/>
      <c r="F27" s="1"/>
    </row>
    <row r="28" spans="1:6" x14ac:dyDescent="0.2">
      <c r="A28" s="73"/>
      <c r="F28" s="1"/>
    </row>
    <row r="29" spans="1:6" x14ac:dyDescent="0.2">
      <c r="A29" s="73"/>
      <c r="F29" s="1"/>
    </row>
    <row r="30" spans="1:6" x14ac:dyDescent="0.2">
      <c r="A30" s="73"/>
      <c r="F30" s="1"/>
    </row>
    <row r="31" spans="1:6" x14ac:dyDescent="0.2">
      <c r="A31" s="73"/>
      <c r="F31" s="1"/>
    </row>
    <row r="32" spans="1:6" x14ac:dyDescent="0.2">
      <c r="A32" s="73"/>
      <c r="F32" s="1"/>
    </row>
    <row r="33" spans="1:6" x14ac:dyDescent="0.2">
      <c r="A33" s="73"/>
      <c r="F33" s="1"/>
    </row>
    <row r="34" spans="1:6" x14ac:dyDescent="0.2">
      <c r="A34" s="73"/>
      <c r="F34" s="1"/>
    </row>
    <row r="35" spans="1:6" x14ac:dyDescent="0.2">
      <c r="A35" s="73"/>
      <c r="F35" s="1"/>
    </row>
    <row r="36" spans="1:6" x14ac:dyDescent="0.2">
      <c r="A36" s="73"/>
      <c r="F36" s="1"/>
    </row>
    <row r="37" spans="1:6" x14ac:dyDescent="0.2">
      <c r="A37" s="73"/>
      <c r="F37" s="1"/>
    </row>
    <row r="38" spans="1:6" x14ac:dyDescent="0.2">
      <c r="A38" s="73"/>
      <c r="F38" s="1"/>
    </row>
    <row r="39" spans="1:6" x14ac:dyDescent="0.2">
      <c r="A39" s="73"/>
      <c r="F39" s="1"/>
    </row>
    <row r="40" spans="1:6" x14ac:dyDescent="0.2">
      <c r="A40" s="73"/>
      <c r="F40" s="1"/>
    </row>
    <row r="41" spans="1:6" x14ac:dyDescent="0.2">
      <c r="A41" s="73"/>
      <c r="F41" s="1"/>
    </row>
    <row r="42" spans="1:6" x14ac:dyDescent="0.2">
      <c r="A42" s="73"/>
      <c r="F42" s="1"/>
    </row>
    <row r="43" spans="1:6" x14ac:dyDescent="0.2">
      <c r="A43" s="73"/>
      <c r="F43" s="1"/>
    </row>
    <row r="44" spans="1:6" x14ac:dyDescent="0.2">
      <c r="A44" s="73"/>
      <c r="F44" s="1"/>
    </row>
    <row r="45" spans="1:6" x14ac:dyDescent="0.2">
      <c r="A45" s="73"/>
      <c r="F45" s="1"/>
    </row>
    <row r="46" spans="1:6" x14ac:dyDescent="0.2">
      <c r="A46" s="73"/>
      <c r="F46" s="1"/>
    </row>
    <row r="47" spans="1:6" x14ac:dyDescent="0.2">
      <c r="A47" s="73"/>
      <c r="F47" s="1"/>
    </row>
    <row r="48" spans="1:6" x14ac:dyDescent="0.2">
      <c r="A48" s="73"/>
      <c r="F48" s="1"/>
    </row>
    <row r="49" spans="1:6" x14ac:dyDescent="0.2">
      <c r="A49" s="73"/>
      <c r="F49" s="1"/>
    </row>
    <row r="50" spans="1:6" x14ac:dyDescent="0.2">
      <c r="A50" s="73"/>
      <c r="F50" s="1"/>
    </row>
    <row r="51" spans="1:6" x14ac:dyDescent="0.2">
      <c r="A51" s="73"/>
      <c r="F51" s="1"/>
    </row>
    <row r="52" spans="1:6" x14ac:dyDescent="0.2">
      <c r="A52" s="73"/>
      <c r="F52" s="1"/>
    </row>
    <row r="53" spans="1:6" x14ac:dyDescent="0.2">
      <c r="A53" s="73"/>
      <c r="F53" s="1"/>
    </row>
    <row r="54" spans="1:6" x14ac:dyDescent="0.2">
      <c r="A54" s="73"/>
      <c r="F54" s="1"/>
    </row>
    <row r="55" spans="1:6" x14ac:dyDescent="0.2">
      <c r="A55" s="73"/>
      <c r="F55" s="1"/>
    </row>
    <row r="56" spans="1:6" x14ac:dyDescent="0.2">
      <c r="A56" s="73"/>
      <c r="F56" s="1"/>
    </row>
    <row r="57" spans="1:6" x14ac:dyDescent="0.2">
      <c r="A57" s="73"/>
      <c r="F57" s="1"/>
    </row>
    <row r="58" spans="1:6" x14ac:dyDescent="0.2">
      <c r="A58" s="73"/>
      <c r="F58" s="1"/>
    </row>
    <row r="59" spans="1:6" x14ac:dyDescent="0.2">
      <c r="A59" s="73"/>
      <c r="F59" s="1"/>
    </row>
    <row r="60" spans="1:6" x14ac:dyDescent="0.2">
      <c r="A60" s="73"/>
      <c r="F60" s="1"/>
    </row>
    <row r="61" spans="1:6" x14ac:dyDescent="0.2">
      <c r="A61" s="73"/>
      <c r="F61" s="1"/>
    </row>
    <row r="62" spans="1:6" x14ac:dyDescent="0.2">
      <c r="A62" s="73"/>
      <c r="F62" s="1"/>
    </row>
    <row r="63" spans="1:6" x14ac:dyDescent="0.2">
      <c r="A63" s="73"/>
      <c r="F63" s="1"/>
    </row>
    <row r="64" spans="1:6" x14ac:dyDescent="0.2">
      <c r="A64" s="73"/>
      <c r="F64" s="1"/>
    </row>
    <row r="65" spans="1:6" x14ac:dyDescent="0.2">
      <c r="A65" s="73"/>
      <c r="F65" s="1"/>
    </row>
    <row r="66" spans="1:6" x14ac:dyDescent="0.2">
      <c r="A66" s="73"/>
      <c r="F66" s="1"/>
    </row>
    <row r="67" spans="1:6" x14ac:dyDescent="0.2">
      <c r="A67" s="73"/>
      <c r="F67" s="1"/>
    </row>
    <row r="68" spans="1:6" x14ac:dyDescent="0.2">
      <c r="A68" s="73"/>
      <c r="F68" s="1"/>
    </row>
    <row r="69" spans="1:6" x14ac:dyDescent="0.2">
      <c r="A69" s="73"/>
      <c r="F69" s="1"/>
    </row>
    <row r="70" spans="1:6" x14ac:dyDescent="0.2">
      <c r="A70" s="73"/>
      <c r="F70" s="1"/>
    </row>
    <row r="71" spans="1:6" x14ac:dyDescent="0.2">
      <c r="A71" s="73"/>
      <c r="F71" s="1"/>
    </row>
    <row r="72" spans="1:6" x14ac:dyDescent="0.2">
      <c r="A72" s="73"/>
      <c r="F72" s="1"/>
    </row>
    <row r="73" spans="1:6" x14ac:dyDescent="0.2">
      <c r="A73" s="73"/>
      <c r="F73" s="1"/>
    </row>
    <row r="74" spans="1:6" x14ac:dyDescent="0.2">
      <c r="A74" s="73"/>
      <c r="F74" s="1"/>
    </row>
    <row r="75" spans="1:6" x14ac:dyDescent="0.2">
      <c r="A75" s="73"/>
      <c r="F75" s="1"/>
    </row>
    <row r="76" spans="1:6" x14ac:dyDescent="0.2">
      <c r="A76" s="73"/>
      <c r="F76" s="1"/>
    </row>
    <row r="77" spans="1:6" x14ac:dyDescent="0.2">
      <c r="A77" s="73"/>
      <c r="F77" s="1"/>
    </row>
    <row r="78" spans="1:6" x14ac:dyDescent="0.2">
      <c r="A78" s="73"/>
      <c r="F78" s="1"/>
    </row>
    <row r="79" spans="1:6" x14ac:dyDescent="0.2">
      <c r="A79" s="73"/>
      <c r="F79" s="1"/>
    </row>
    <row r="80" spans="1:6" x14ac:dyDescent="0.2">
      <c r="A80" s="73"/>
      <c r="F80" s="1"/>
    </row>
    <row r="81" spans="1:6" x14ac:dyDescent="0.2">
      <c r="A81" s="73"/>
      <c r="F81" s="1"/>
    </row>
    <row r="82" spans="1:6" x14ac:dyDescent="0.2">
      <c r="A82" s="73"/>
      <c r="F82" s="1"/>
    </row>
    <row r="83" spans="1:6" x14ac:dyDescent="0.2">
      <c r="A83" s="73"/>
      <c r="F83" s="1"/>
    </row>
    <row r="84" spans="1:6" x14ac:dyDescent="0.2">
      <c r="A84" s="73"/>
      <c r="F84" s="1"/>
    </row>
    <row r="85" spans="1:6" x14ac:dyDescent="0.2">
      <c r="A85" s="73"/>
      <c r="F85" s="1"/>
    </row>
    <row r="86" spans="1:6" x14ac:dyDescent="0.2">
      <c r="A86" s="73"/>
      <c r="F86" s="1"/>
    </row>
    <row r="87" spans="1:6" x14ac:dyDescent="0.2">
      <c r="A87" s="73"/>
      <c r="F87" s="1"/>
    </row>
    <row r="88" spans="1:6" x14ac:dyDescent="0.2">
      <c r="A88" s="73"/>
      <c r="F88" s="1"/>
    </row>
    <row r="89" spans="1:6" x14ac:dyDescent="0.2">
      <c r="A89" s="73"/>
      <c r="F89" s="1"/>
    </row>
    <row r="90" spans="1:6" x14ac:dyDescent="0.2">
      <c r="A90" s="73"/>
      <c r="F90" s="1"/>
    </row>
    <row r="91" spans="1:6" x14ac:dyDescent="0.2">
      <c r="A91" s="73"/>
      <c r="F91" s="1"/>
    </row>
    <row r="92" spans="1:6" x14ac:dyDescent="0.2">
      <c r="A92" s="73"/>
      <c r="F92" s="1"/>
    </row>
    <row r="93" spans="1:6" x14ac:dyDescent="0.2">
      <c r="A93" s="73"/>
      <c r="F93" s="1"/>
    </row>
    <row r="94" spans="1:6" x14ac:dyDescent="0.2">
      <c r="A94" s="73"/>
      <c r="F94" s="1"/>
    </row>
    <row r="95" spans="1:6" x14ac:dyDescent="0.2">
      <c r="A95" s="73"/>
      <c r="F95" s="1"/>
    </row>
    <row r="96" spans="1:6" x14ac:dyDescent="0.2">
      <c r="A96" s="73"/>
      <c r="F96" s="1"/>
    </row>
    <row r="97" spans="1:6" x14ac:dyDescent="0.2">
      <c r="A97" s="73"/>
      <c r="F97" s="1"/>
    </row>
    <row r="98" spans="1:6" x14ac:dyDescent="0.2">
      <c r="A98" s="73"/>
      <c r="F98" s="1"/>
    </row>
    <row r="99" spans="1:6" x14ac:dyDescent="0.2">
      <c r="A99" s="73"/>
      <c r="F99" s="1"/>
    </row>
    <row r="100" spans="1:6" x14ac:dyDescent="0.2">
      <c r="A100" s="73"/>
      <c r="F100" s="1"/>
    </row>
    <row r="101" spans="1:6" x14ac:dyDescent="0.2">
      <c r="A101" s="73"/>
      <c r="F101" s="1"/>
    </row>
    <row r="102" spans="1:6" x14ac:dyDescent="0.2">
      <c r="A102" s="73"/>
      <c r="F102" s="1"/>
    </row>
    <row r="103" spans="1:6" x14ac:dyDescent="0.2">
      <c r="A103" s="73"/>
      <c r="F103" s="1"/>
    </row>
    <row r="104" spans="1:6" x14ac:dyDescent="0.2">
      <c r="A104" s="73"/>
      <c r="F104" s="1"/>
    </row>
    <row r="105" spans="1:6" x14ac:dyDescent="0.2">
      <c r="A105" s="73"/>
      <c r="F105" s="1"/>
    </row>
    <row r="106" spans="1:6" x14ac:dyDescent="0.2">
      <c r="A106" s="73"/>
      <c r="F106" s="1"/>
    </row>
    <row r="107" spans="1:6" x14ac:dyDescent="0.2">
      <c r="A107" s="73"/>
      <c r="F107" s="1"/>
    </row>
    <row r="108" spans="1:6" x14ac:dyDescent="0.2">
      <c r="A108" s="73"/>
      <c r="F108" s="1"/>
    </row>
    <row r="109" spans="1:6" x14ac:dyDescent="0.2">
      <c r="A109" s="73"/>
      <c r="F109" s="1"/>
    </row>
    <row r="110" spans="1:6" x14ac:dyDescent="0.2">
      <c r="A110" s="73"/>
      <c r="F110" s="1"/>
    </row>
    <row r="111" spans="1:6" x14ac:dyDescent="0.2">
      <c r="A111" s="73"/>
      <c r="F111" s="1"/>
    </row>
    <row r="112" spans="1:6" x14ac:dyDescent="0.2">
      <c r="A112" s="73"/>
      <c r="F112" s="1"/>
    </row>
    <row r="113" spans="1:6" x14ac:dyDescent="0.2">
      <c r="A113" s="73"/>
      <c r="F113" s="1"/>
    </row>
    <row r="114" spans="1:6" x14ac:dyDescent="0.2">
      <c r="A114" s="73"/>
      <c r="F114" s="1"/>
    </row>
    <row r="115" spans="1:6" x14ac:dyDescent="0.2">
      <c r="A115" s="73"/>
      <c r="F115" s="1"/>
    </row>
    <row r="116" spans="1:6" x14ac:dyDescent="0.2">
      <c r="A116" s="73"/>
      <c r="F116" s="1"/>
    </row>
    <row r="117" spans="1:6" x14ac:dyDescent="0.2">
      <c r="A117" s="73"/>
      <c r="F117" s="1"/>
    </row>
    <row r="118" spans="1:6" x14ac:dyDescent="0.2">
      <c r="A118" s="73"/>
      <c r="F118" s="1"/>
    </row>
    <row r="119" spans="1:6" x14ac:dyDescent="0.2">
      <c r="A119" s="73"/>
      <c r="F119" s="1"/>
    </row>
    <row r="120" spans="1:6" x14ac:dyDescent="0.2">
      <c r="A120" s="73"/>
      <c r="F120" s="1"/>
    </row>
    <row r="121" spans="1:6" x14ac:dyDescent="0.2">
      <c r="A121" s="73"/>
      <c r="F121" s="1"/>
    </row>
    <row r="122" spans="1:6" x14ac:dyDescent="0.2">
      <c r="A122" s="73"/>
      <c r="F122" s="1"/>
    </row>
    <row r="123" spans="1:6" x14ac:dyDescent="0.2">
      <c r="A123" s="73"/>
      <c r="F123" s="1"/>
    </row>
    <row r="124" spans="1:6" x14ac:dyDescent="0.2">
      <c r="A124" s="73"/>
      <c r="F124" s="1"/>
    </row>
    <row r="125" spans="1:6" x14ac:dyDescent="0.2">
      <c r="A125" s="73"/>
      <c r="F125" s="1"/>
    </row>
    <row r="126" spans="1:6" x14ac:dyDescent="0.2">
      <c r="A126" s="73"/>
      <c r="F126" s="1"/>
    </row>
    <row r="127" spans="1:6" x14ac:dyDescent="0.2">
      <c r="A127" s="73"/>
      <c r="F127" s="1"/>
    </row>
    <row r="128" spans="1:6" x14ac:dyDescent="0.2">
      <c r="A128" s="73"/>
      <c r="F128" s="1"/>
    </row>
    <row r="129" spans="1:6" x14ac:dyDescent="0.2">
      <c r="A129" s="73"/>
      <c r="F129" s="1"/>
    </row>
    <row r="130" spans="1:6" x14ac:dyDescent="0.2">
      <c r="A130" s="73"/>
      <c r="F130" s="1"/>
    </row>
    <row r="131" spans="1:6" x14ac:dyDescent="0.2">
      <c r="A131" s="73"/>
      <c r="F131" s="1"/>
    </row>
    <row r="132" spans="1:6" x14ac:dyDescent="0.2">
      <c r="A132" s="73"/>
      <c r="F132" s="1"/>
    </row>
    <row r="133" spans="1:6" x14ac:dyDescent="0.2">
      <c r="A133" s="73"/>
      <c r="F133" s="1"/>
    </row>
    <row r="134" spans="1:6" x14ac:dyDescent="0.2">
      <c r="A134" s="73"/>
      <c r="F134" s="1"/>
    </row>
    <row r="135" spans="1:6" x14ac:dyDescent="0.2">
      <c r="A135" s="73"/>
      <c r="F135" s="1"/>
    </row>
    <row r="136" spans="1:6" x14ac:dyDescent="0.2">
      <c r="A136" s="73"/>
      <c r="F136" s="1"/>
    </row>
    <row r="137" spans="1:6" x14ac:dyDescent="0.2">
      <c r="A137" s="73"/>
      <c r="F137" s="1"/>
    </row>
    <row r="138" spans="1:6" x14ac:dyDescent="0.2">
      <c r="A138" s="73"/>
      <c r="F138" s="1"/>
    </row>
    <row r="139" spans="1:6" x14ac:dyDescent="0.2">
      <c r="A139" s="73"/>
      <c r="F139" s="1"/>
    </row>
    <row r="140" spans="1:6" x14ac:dyDescent="0.2">
      <c r="A140" s="73"/>
      <c r="F140" s="1"/>
    </row>
    <row r="141" spans="1:6" x14ac:dyDescent="0.2">
      <c r="A141" s="73"/>
      <c r="F141" s="1"/>
    </row>
    <row r="142" spans="1:6" x14ac:dyDescent="0.2">
      <c r="A142" s="73"/>
      <c r="F142" s="1"/>
    </row>
    <row r="143" spans="1:6" x14ac:dyDescent="0.2">
      <c r="A143" s="73"/>
      <c r="F143" s="1"/>
    </row>
    <row r="144" spans="1:6" x14ac:dyDescent="0.2">
      <c r="A144" s="73"/>
      <c r="F144" s="1"/>
    </row>
    <row r="145" spans="1:6" x14ac:dyDescent="0.2">
      <c r="A145" s="73"/>
      <c r="F145" s="1"/>
    </row>
    <row r="146" spans="1:6" x14ac:dyDescent="0.2">
      <c r="A146" s="73"/>
      <c r="F146" s="1"/>
    </row>
    <row r="147" spans="1:6" x14ac:dyDescent="0.2">
      <c r="A147" s="73"/>
      <c r="F147" s="1"/>
    </row>
    <row r="148" spans="1:6" x14ac:dyDescent="0.2">
      <c r="A148" s="73"/>
      <c r="F148" s="1"/>
    </row>
    <row r="149" spans="1:6" x14ac:dyDescent="0.2">
      <c r="A149" s="73"/>
      <c r="F149" s="1"/>
    </row>
    <row r="150" spans="1:6" x14ac:dyDescent="0.2">
      <c r="A150" s="73"/>
      <c r="F150" s="1"/>
    </row>
    <row r="151" spans="1:6" x14ac:dyDescent="0.2">
      <c r="A151" s="73"/>
      <c r="F151" s="1"/>
    </row>
    <row r="152" spans="1:6" x14ac:dyDescent="0.2">
      <c r="A152" s="73"/>
      <c r="F152" s="1"/>
    </row>
    <row r="153" spans="1:6" x14ac:dyDescent="0.2">
      <c r="A153" s="73"/>
      <c r="F153" s="1"/>
    </row>
    <row r="154" spans="1:6" x14ac:dyDescent="0.2">
      <c r="A154" s="73"/>
      <c r="F154" s="1"/>
    </row>
    <row r="155" spans="1:6" x14ac:dyDescent="0.2">
      <c r="A155" s="73"/>
      <c r="F155" s="1"/>
    </row>
    <row r="156" spans="1:6" x14ac:dyDescent="0.2">
      <c r="A156" s="73"/>
      <c r="F156" s="1"/>
    </row>
    <row r="157" spans="1:6" x14ac:dyDescent="0.2">
      <c r="A157" s="73"/>
      <c r="F157" s="1"/>
    </row>
    <row r="158" spans="1:6" x14ac:dyDescent="0.2">
      <c r="A158" s="73"/>
      <c r="F158" s="1"/>
    </row>
    <row r="159" spans="1:6" x14ac:dyDescent="0.2">
      <c r="A159" s="73"/>
      <c r="F159" s="1"/>
    </row>
    <row r="160" spans="1:6" x14ac:dyDescent="0.2">
      <c r="A160" s="73"/>
      <c r="F160" s="1"/>
    </row>
    <row r="161" spans="1:6" x14ac:dyDescent="0.2">
      <c r="A161" s="73"/>
      <c r="F161" s="1"/>
    </row>
    <row r="162" spans="1:6" x14ac:dyDescent="0.2">
      <c r="A162" s="73"/>
      <c r="F162" s="1"/>
    </row>
    <row r="163" spans="1:6" x14ac:dyDescent="0.2">
      <c r="A163" s="73"/>
      <c r="F163" s="1"/>
    </row>
    <row r="164" spans="1:6" x14ac:dyDescent="0.2">
      <c r="A164" s="73"/>
      <c r="F164" s="1"/>
    </row>
    <row r="165" spans="1:6" x14ac:dyDescent="0.2">
      <c r="A165" s="73"/>
      <c r="F165" s="1"/>
    </row>
    <row r="166" spans="1:6" x14ac:dyDescent="0.2">
      <c r="A166" s="73"/>
      <c r="F166" s="1"/>
    </row>
    <row r="167" spans="1:6" x14ac:dyDescent="0.2">
      <c r="A167" s="73"/>
      <c r="F167" s="1"/>
    </row>
    <row r="168" spans="1:6" x14ac:dyDescent="0.2">
      <c r="A168" s="73"/>
      <c r="F168" s="1"/>
    </row>
    <row r="169" spans="1:6" x14ac:dyDescent="0.2">
      <c r="A169" s="73"/>
      <c r="F169" s="1"/>
    </row>
    <row r="170" spans="1:6" x14ac:dyDescent="0.2">
      <c r="A170" s="73"/>
      <c r="F170" s="1"/>
    </row>
    <row r="171" spans="1:6" x14ac:dyDescent="0.2">
      <c r="A171" s="73"/>
      <c r="F171" s="1"/>
    </row>
    <row r="172" spans="1:6" x14ac:dyDescent="0.2">
      <c r="A172" s="73"/>
      <c r="F172" s="1"/>
    </row>
    <row r="173" spans="1:6" x14ac:dyDescent="0.2">
      <c r="A173" s="73"/>
      <c r="F173" s="1"/>
    </row>
    <row r="174" spans="1:6" x14ac:dyDescent="0.2">
      <c r="A174" s="73"/>
      <c r="F174" s="1"/>
    </row>
    <row r="175" spans="1:6" x14ac:dyDescent="0.2">
      <c r="A175" s="73"/>
      <c r="F175" s="1"/>
    </row>
    <row r="176" spans="1:6" x14ac:dyDescent="0.2">
      <c r="A176" s="73"/>
      <c r="F176" s="1"/>
    </row>
    <row r="177" spans="1:6" x14ac:dyDescent="0.2">
      <c r="A177" s="73"/>
      <c r="F177" s="1"/>
    </row>
    <row r="178" spans="1:6" x14ac:dyDescent="0.2">
      <c r="A178" s="73"/>
      <c r="F178" s="1"/>
    </row>
    <row r="179" spans="1:6" x14ac:dyDescent="0.2">
      <c r="A179" s="73"/>
      <c r="F179" s="1"/>
    </row>
    <row r="180" spans="1:6" x14ac:dyDescent="0.2">
      <c r="A180" s="73"/>
      <c r="F180" s="1"/>
    </row>
    <row r="181" spans="1:6" x14ac:dyDescent="0.2">
      <c r="A181" s="73"/>
      <c r="F181" s="1"/>
    </row>
    <row r="182" spans="1:6" x14ac:dyDescent="0.2">
      <c r="A182" s="73"/>
      <c r="F182" s="1"/>
    </row>
    <row r="183" spans="1:6" x14ac:dyDescent="0.2">
      <c r="A183" s="73"/>
      <c r="F183" s="1"/>
    </row>
    <row r="184" spans="1:6" x14ac:dyDescent="0.2">
      <c r="A184" s="73"/>
      <c r="F184" s="1"/>
    </row>
    <row r="185" spans="1:6" x14ac:dyDescent="0.2">
      <c r="A185" s="73"/>
      <c r="F185" s="1"/>
    </row>
    <row r="186" spans="1:6" x14ac:dyDescent="0.2">
      <c r="A186" s="73"/>
      <c r="F186" s="1"/>
    </row>
    <row r="187" spans="1:6" x14ac:dyDescent="0.2">
      <c r="A187" s="73"/>
      <c r="F187" s="1"/>
    </row>
    <row r="188" spans="1:6" x14ac:dyDescent="0.2">
      <c r="A188" s="73"/>
      <c r="F188" s="1"/>
    </row>
    <row r="189" spans="1:6" x14ac:dyDescent="0.2">
      <c r="A189" s="73"/>
      <c r="F189" s="1"/>
    </row>
    <row r="190" spans="1:6" x14ac:dyDescent="0.2">
      <c r="A190" s="73"/>
      <c r="F190" s="1"/>
    </row>
    <row r="191" spans="1:6" x14ac:dyDescent="0.2">
      <c r="A191" s="73"/>
      <c r="F191" s="1"/>
    </row>
    <row r="192" spans="1:6" x14ac:dyDescent="0.2">
      <c r="A192" s="73"/>
      <c r="F192" s="1"/>
    </row>
    <row r="193" spans="1:6" x14ac:dyDescent="0.2">
      <c r="A193" s="73"/>
      <c r="F193" s="1"/>
    </row>
    <row r="194" spans="1:6" x14ac:dyDescent="0.2">
      <c r="A194" s="73"/>
      <c r="F194" s="1"/>
    </row>
    <row r="195" spans="1:6" x14ac:dyDescent="0.2">
      <c r="A195" s="73"/>
      <c r="F195" s="1"/>
    </row>
    <row r="196" spans="1:6" x14ac:dyDescent="0.2">
      <c r="A196" s="73"/>
      <c r="F196" s="1"/>
    </row>
    <row r="197" spans="1:6" x14ac:dyDescent="0.2">
      <c r="A197" s="73"/>
      <c r="F197" s="1"/>
    </row>
    <row r="198" spans="1:6" x14ac:dyDescent="0.2">
      <c r="A198" s="73"/>
      <c r="F198" s="1"/>
    </row>
    <row r="199" spans="1:6" x14ac:dyDescent="0.2">
      <c r="A199" s="73"/>
      <c r="F199" s="1"/>
    </row>
    <row r="200" spans="1:6" x14ac:dyDescent="0.2">
      <c r="A200" s="73"/>
      <c r="F200" s="1"/>
    </row>
    <row r="201" spans="1:6" x14ac:dyDescent="0.2">
      <c r="A201" s="73"/>
      <c r="F201" s="1"/>
    </row>
    <row r="202" spans="1:6" x14ac:dyDescent="0.2">
      <c r="A202" s="73"/>
      <c r="F202" s="1"/>
    </row>
    <row r="203" spans="1:6" x14ac:dyDescent="0.2">
      <c r="A203" s="73"/>
      <c r="F203" s="1"/>
    </row>
    <row r="204" spans="1:6" x14ac:dyDescent="0.2">
      <c r="A204" s="73"/>
      <c r="F204" s="1"/>
    </row>
    <row r="205" spans="1:6" x14ac:dyDescent="0.2">
      <c r="A205" s="73"/>
      <c r="F205" s="1"/>
    </row>
    <row r="206" spans="1:6" x14ac:dyDescent="0.2">
      <c r="A206" s="73"/>
      <c r="F206" s="1"/>
    </row>
    <row r="207" spans="1:6" x14ac:dyDescent="0.2">
      <c r="A207" s="73"/>
      <c r="F207" s="1"/>
    </row>
    <row r="208" spans="1:6" x14ac:dyDescent="0.2">
      <c r="A208" s="73"/>
      <c r="F208" s="1"/>
    </row>
    <row r="209" spans="1:6" x14ac:dyDescent="0.2">
      <c r="A209" s="73"/>
      <c r="F209" s="1"/>
    </row>
    <row r="210" spans="1:6" x14ac:dyDescent="0.2">
      <c r="A210" s="73"/>
      <c r="F210" s="1"/>
    </row>
    <row r="211" spans="1:6" x14ac:dyDescent="0.2">
      <c r="A211" s="73"/>
      <c r="F211" s="1"/>
    </row>
    <row r="212" spans="1:6" x14ac:dyDescent="0.2">
      <c r="A212" s="73"/>
      <c r="F212" s="1"/>
    </row>
    <row r="213" spans="1:6" x14ac:dyDescent="0.2">
      <c r="A213" s="73"/>
      <c r="F213" s="1"/>
    </row>
    <row r="214" spans="1:6" x14ac:dyDescent="0.2">
      <c r="A214" s="73"/>
      <c r="F214" s="1"/>
    </row>
    <row r="215" spans="1:6" x14ac:dyDescent="0.2">
      <c r="A215" s="73"/>
      <c r="F215" s="1"/>
    </row>
    <row r="216" spans="1:6" x14ac:dyDescent="0.2">
      <c r="A216" s="73"/>
      <c r="F216" s="1"/>
    </row>
    <row r="217" spans="1:6" x14ac:dyDescent="0.2">
      <c r="A217" s="73"/>
      <c r="F217" s="1"/>
    </row>
    <row r="218" spans="1:6" x14ac:dyDescent="0.2">
      <c r="A218" s="73"/>
      <c r="F218" s="1"/>
    </row>
    <row r="219" spans="1:6" x14ac:dyDescent="0.2">
      <c r="A219" s="73"/>
      <c r="F219" s="1"/>
    </row>
    <row r="220" spans="1:6" x14ac:dyDescent="0.2">
      <c r="A220" s="73"/>
      <c r="F220" s="1"/>
    </row>
    <row r="221" spans="1:6" x14ac:dyDescent="0.2">
      <c r="A221" s="73"/>
      <c r="F221" s="1"/>
    </row>
    <row r="222" spans="1:6" x14ac:dyDescent="0.2">
      <c r="A222" s="73"/>
      <c r="F222" s="1"/>
    </row>
    <row r="223" spans="1:6" x14ac:dyDescent="0.2">
      <c r="A223" s="73"/>
      <c r="F223" s="1"/>
    </row>
    <row r="224" spans="1:6" x14ac:dyDescent="0.2">
      <c r="A224" s="73"/>
      <c r="F224" s="1"/>
    </row>
    <row r="225" spans="1:6" x14ac:dyDescent="0.2">
      <c r="A225" s="73"/>
      <c r="F225" s="1"/>
    </row>
    <row r="226" spans="1:6" x14ac:dyDescent="0.2">
      <c r="A226" s="73"/>
      <c r="F226" s="1"/>
    </row>
    <row r="227" spans="1:6" x14ac:dyDescent="0.2">
      <c r="A227" s="73"/>
      <c r="F227" s="1"/>
    </row>
    <row r="228" spans="1:6" x14ac:dyDescent="0.2">
      <c r="A228" s="73"/>
      <c r="F228" s="1"/>
    </row>
    <row r="229" spans="1:6" x14ac:dyDescent="0.2">
      <c r="A229" s="73"/>
      <c r="F229" s="1"/>
    </row>
    <row r="230" spans="1:6" x14ac:dyDescent="0.2">
      <c r="A230" s="73"/>
      <c r="F230" s="1"/>
    </row>
    <row r="231" spans="1:6" x14ac:dyDescent="0.2">
      <c r="A231" s="73"/>
      <c r="F231" s="1"/>
    </row>
    <row r="232" spans="1:6" x14ac:dyDescent="0.2">
      <c r="A232" s="73"/>
      <c r="F232" s="1"/>
    </row>
    <row r="233" spans="1:6" x14ac:dyDescent="0.2">
      <c r="A233" s="73"/>
      <c r="F233" s="1"/>
    </row>
    <row r="234" spans="1:6" x14ac:dyDescent="0.2">
      <c r="A234" s="73"/>
      <c r="F234" s="1"/>
    </row>
    <row r="235" spans="1:6" x14ac:dyDescent="0.2">
      <c r="A235" s="73"/>
      <c r="F235" s="1"/>
    </row>
    <row r="236" spans="1:6" x14ac:dyDescent="0.2">
      <c r="A236" s="73"/>
      <c r="F236" s="1"/>
    </row>
    <row r="237" spans="1:6" x14ac:dyDescent="0.2">
      <c r="A237" s="73"/>
      <c r="F237" s="1"/>
    </row>
    <row r="238" spans="1:6" x14ac:dyDescent="0.2">
      <c r="A238" s="73"/>
      <c r="F238" s="1"/>
    </row>
    <row r="239" spans="1:6" x14ac:dyDescent="0.2">
      <c r="A239" s="73"/>
      <c r="F239" s="1"/>
    </row>
    <row r="240" spans="1:6" x14ac:dyDescent="0.2">
      <c r="A240" s="73"/>
      <c r="F240" s="1"/>
    </row>
    <row r="241" spans="1:6" x14ac:dyDescent="0.2">
      <c r="A241" s="73"/>
      <c r="F241" s="1"/>
    </row>
    <row r="242" spans="1:6" x14ac:dyDescent="0.2">
      <c r="A242" s="73"/>
      <c r="F242" s="1"/>
    </row>
    <row r="243" spans="1:6" x14ac:dyDescent="0.2">
      <c r="A243" s="73"/>
      <c r="F243" s="1"/>
    </row>
    <row r="244" spans="1:6" x14ac:dyDescent="0.2">
      <c r="A244" s="73"/>
      <c r="F244" s="1"/>
    </row>
    <row r="245" spans="1:6" x14ac:dyDescent="0.2">
      <c r="A245" s="73"/>
      <c r="F245" s="1"/>
    </row>
    <row r="246" spans="1:6" x14ac:dyDescent="0.2">
      <c r="A246" s="73"/>
      <c r="F246" s="1"/>
    </row>
    <row r="247" spans="1:6" x14ac:dyDescent="0.2">
      <c r="A247" s="73"/>
      <c r="F247" s="1"/>
    </row>
    <row r="248" spans="1:6" x14ac:dyDescent="0.2">
      <c r="A248" s="73"/>
      <c r="F248" s="1"/>
    </row>
    <row r="249" spans="1:6" x14ac:dyDescent="0.2">
      <c r="A249" s="73"/>
      <c r="F249" s="1"/>
    </row>
    <row r="250" spans="1:6" x14ac:dyDescent="0.2">
      <c r="A250" s="73"/>
      <c r="F250" s="1"/>
    </row>
    <row r="251" spans="1:6" x14ac:dyDescent="0.2">
      <c r="A251" s="73"/>
      <c r="F251" s="1"/>
    </row>
    <row r="252" spans="1:6" x14ac:dyDescent="0.2">
      <c r="A252" s="73"/>
      <c r="F252" s="1"/>
    </row>
    <row r="253" spans="1:6" x14ac:dyDescent="0.2">
      <c r="A253" s="73"/>
      <c r="F253" s="1"/>
    </row>
    <row r="254" spans="1:6" x14ac:dyDescent="0.2">
      <c r="A254" s="73"/>
      <c r="F254" s="1"/>
    </row>
    <row r="255" spans="1:6" x14ac:dyDescent="0.2">
      <c r="A255" s="73"/>
      <c r="F255" s="1"/>
    </row>
    <row r="256" spans="1:6" x14ac:dyDescent="0.2">
      <c r="A256" s="73"/>
      <c r="F256" s="1"/>
    </row>
    <row r="257" spans="1:6" x14ac:dyDescent="0.2">
      <c r="A257" s="73"/>
      <c r="F257" s="1"/>
    </row>
    <row r="258" spans="1:6" x14ac:dyDescent="0.2">
      <c r="A258" s="73"/>
      <c r="F258" s="1"/>
    </row>
    <row r="259" spans="1:6" x14ac:dyDescent="0.2">
      <c r="A259" s="73"/>
      <c r="F259" s="1"/>
    </row>
    <row r="260" spans="1:6" x14ac:dyDescent="0.2">
      <c r="A260" s="73"/>
      <c r="F260" s="1"/>
    </row>
    <row r="261" spans="1:6" x14ac:dyDescent="0.2">
      <c r="A261" s="73"/>
      <c r="F261" s="1"/>
    </row>
    <row r="262" spans="1:6" x14ac:dyDescent="0.2">
      <c r="A262" s="73"/>
      <c r="F262" s="1"/>
    </row>
    <row r="263" spans="1:6" x14ac:dyDescent="0.2">
      <c r="A263" s="73"/>
      <c r="F263" s="1"/>
    </row>
    <row r="264" spans="1:6" x14ac:dyDescent="0.2">
      <c r="A264" s="73"/>
      <c r="F264" s="1"/>
    </row>
    <row r="265" spans="1:6" x14ac:dyDescent="0.2">
      <c r="A265" s="73"/>
      <c r="F265" s="1"/>
    </row>
    <row r="266" spans="1:6" x14ac:dyDescent="0.2">
      <c r="A266" s="73"/>
      <c r="F266" s="1"/>
    </row>
    <row r="267" spans="1:6" x14ac:dyDescent="0.2">
      <c r="A267" s="73"/>
      <c r="F267" s="1"/>
    </row>
    <row r="268" spans="1:6" x14ac:dyDescent="0.2">
      <c r="A268" s="73"/>
      <c r="F268" s="1"/>
    </row>
    <row r="269" spans="1:6" x14ac:dyDescent="0.2">
      <c r="A269" s="73"/>
      <c r="F269" s="1"/>
    </row>
    <row r="270" spans="1:6" x14ac:dyDescent="0.2">
      <c r="A270" s="73"/>
      <c r="F270" s="1"/>
    </row>
    <row r="271" spans="1:6" x14ac:dyDescent="0.2">
      <c r="A271" s="73"/>
      <c r="F271" s="1"/>
    </row>
    <row r="272" spans="1:6" x14ac:dyDescent="0.2">
      <c r="A272" s="73"/>
      <c r="F272" s="1"/>
    </row>
    <row r="273" spans="1:6" x14ac:dyDescent="0.2">
      <c r="A273" s="73"/>
      <c r="F273" s="1"/>
    </row>
    <row r="274" spans="1:6" x14ac:dyDescent="0.2">
      <c r="A274" s="73"/>
      <c r="F274" s="1"/>
    </row>
    <row r="275" spans="1:6" x14ac:dyDescent="0.2">
      <c r="A275" s="73"/>
      <c r="F275" s="1"/>
    </row>
    <row r="276" spans="1:6" x14ac:dyDescent="0.2">
      <c r="A276" s="73"/>
      <c r="F276" s="1"/>
    </row>
    <row r="277" spans="1:6" x14ac:dyDescent="0.2">
      <c r="A277" s="73"/>
      <c r="F277" s="1"/>
    </row>
    <row r="278" spans="1:6" x14ac:dyDescent="0.2">
      <c r="A278" s="73"/>
      <c r="F278" s="1"/>
    </row>
    <row r="279" spans="1:6" x14ac:dyDescent="0.2">
      <c r="A279" s="73"/>
      <c r="F279" s="1"/>
    </row>
    <row r="280" spans="1:6" x14ac:dyDescent="0.2">
      <c r="A280" s="73"/>
      <c r="F280" s="1"/>
    </row>
    <row r="281" spans="1:6" x14ac:dyDescent="0.2">
      <c r="A281" s="73"/>
      <c r="F281" s="1"/>
    </row>
    <row r="282" spans="1:6" x14ac:dyDescent="0.2">
      <c r="A282" s="73"/>
      <c r="F282" s="1"/>
    </row>
    <row r="283" spans="1:6" x14ac:dyDescent="0.2">
      <c r="A283" s="73"/>
      <c r="F283" s="1"/>
    </row>
    <row r="284" spans="1:6" x14ac:dyDescent="0.2">
      <c r="A284" s="73"/>
      <c r="F284" s="1"/>
    </row>
    <row r="285" spans="1:6" x14ac:dyDescent="0.2">
      <c r="A285" s="73"/>
      <c r="F285" s="1"/>
    </row>
    <row r="286" spans="1:6" x14ac:dyDescent="0.2">
      <c r="A286" s="73"/>
      <c r="F286" s="1"/>
    </row>
    <row r="287" spans="1:6" x14ac:dyDescent="0.2">
      <c r="A287" s="73"/>
      <c r="F287" s="1"/>
    </row>
    <row r="288" spans="1:6" x14ac:dyDescent="0.2">
      <c r="A288" s="73"/>
      <c r="F288" s="1"/>
    </row>
    <row r="289" spans="1:6" x14ac:dyDescent="0.2">
      <c r="A289" s="73"/>
      <c r="F289" s="1"/>
    </row>
    <row r="290" spans="1:6" x14ac:dyDescent="0.2">
      <c r="A290" s="73"/>
      <c r="F290" s="1"/>
    </row>
    <row r="291" spans="1:6" x14ac:dyDescent="0.2">
      <c r="A291" s="73"/>
      <c r="F291" s="1"/>
    </row>
    <row r="292" spans="1:6" x14ac:dyDescent="0.2">
      <c r="A292" s="73"/>
      <c r="F292" s="1"/>
    </row>
    <row r="293" spans="1:6" x14ac:dyDescent="0.2">
      <c r="A293" s="73"/>
      <c r="F293" s="1"/>
    </row>
    <row r="294" spans="1:6" x14ac:dyDescent="0.2">
      <c r="A294" s="73"/>
      <c r="F294" s="1"/>
    </row>
    <row r="295" spans="1:6" x14ac:dyDescent="0.2">
      <c r="A295" s="73"/>
      <c r="F295" s="1"/>
    </row>
    <row r="296" spans="1:6" x14ac:dyDescent="0.2">
      <c r="A296" s="73"/>
      <c r="F296" s="1"/>
    </row>
    <row r="297" spans="1:6" x14ac:dyDescent="0.2">
      <c r="A297" s="73"/>
      <c r="F297" s="1"/>
    </row>
    <row r="298" spans="1:6" x14ac:dyDescent="0.2">
      <c r="A298" s="73"/>
      <c r="F298" s="1"/>
    </row>
    <row r="299" spans="1:6" x14ac:dyDescent="0.2">
      <c r="A299" s="73"/>
      <c r="F299" s="1"/>
    </row>
    <row r="300" spans="1:6" x14ac:dyDescent="0.2">
      <c r="A300" s="73"/>
      <c r="F300" s="1"/>
    </row>
    <row r="301" spans="1:6" x14ac:dyDescent="0.2">
      <c r="A301" s="73"/>
      <c r="F301" s="1"/>
    </row>
    <row r="302" spans="1:6" x14ac:dyDescent="0.2">
      <c r="A302" s="73"/>
      <c r="F302" s="1"/>
    </row>
    <row r="303" spans="1:6" x14ac:dyDescent="0.2">
      <c r="A303" s="73"/>
      <c r="F303" s="1"/>
    </row>
    <row r="304" spans="1:6" x14ac:dyDescent="0.2">
      <c r="A304" s="73"/>
      <c r="F304" s="1"/>
    </row>
    <row r="305" spans="1:6" x14ac:dyDescent="0.2">
      <c r="A305" s="73"/>
      <c r="F305" s="1"/>
    </row>
    <row r="306" spans="1:6" x14ac:dyDescent="0.2">
      <c r="A306" s="73"/>
      <c r="F306" s="1"/>
    </row>
    <row r="307" spans="1:6" x14ac:dyDescent="0.2">
      <c r="A307" s="73"/>
      <c r="F307" s="1"/>
    </row>
    <row r="308" spans="1:6" x14ac:dyDescent="0.2">
      <c r="A308" s="73"/>
      <c r="F308" s="1"/>
    </row>
    <row r="309" spans="1:6" x14ac:dyDescent="0.2">
      <c r="A309" s="73"/>
      <c r="F309" s="1"/>
    </row>
    <row r="310" spans="1:6" x14ac:dyDescent="0.2">
      <c r="A310" s="73"/>
      <c r="F310" s="1"/>
    </row>
    <row r="311" spans="1:6" x14ac:dyDescent="0.2">
      <c r="A311" s="73"/>
      <c r="F311" s="1"/>
    </row>
    <row r="312" spans="1:6" x14ac:dyDescent="0.2">
      <c r="A312" s="73"/>
      <c r="F312" s="1"/>
    </row>
    <row r="313" spans="1:6" x14ac:dyDescent="0.2">
      <c r="A313" s="73"/>
      <c r="F313" s="1"/>
    </row>
    <row r="314" spans="1:6" x14ac:dyDescent="0.2">
      <c r="A314" s="73"/>
      <c r="F314" s="1"/>
    </row>
    <row r="315" spans="1:6" x14ac:dyDescent="0.2">
      <c r="A315" s="73"/>
      <c r="F315" s="1"/>
    </row>
    <row r="316" spans="1:6" x14ac:dyDescent="0.2">
      <c r="A316" s="73"/>
      <c r="F316" s="1"/>
    </row>
    <row r="317" spans="1:6" x14ac:dyDescent="0.2">
      <c r="A317" s="73"/>
      <c r="F317" s="1"/>
    </row>
    <row r="318" spans="1:6" x14ac:dyDescent="0.2">
      <c r="A318" s="73"/>
      <c r="F318" s="1"/>
    </row>
    <row r="319" spans="1:6" x14ac:dyDescent="0.2">
      <c r="A319" s="73"/>
      <c r="F319" s="1"/>
    </row>
    <row r="320" spans="1:6" x14ac:dyDescent="0.2">
      <c r="A320" s="73"/>
      <c r="F320" s="1"/>
    </row>
    <row r="321" spans="1:6" x14ac:dyDescent="0.2">
      <c r="A321" s="73"/>
      <c r="F321" s="1"/>
    </row>
    <row r="322" spans="1:6" x14ac:dyDescent="0.2">
      <c r="A322" s="73"/>
      <c r="F322" s="1"/>
    </row>
    <row r="323" spans="1:6" x14ac:dyDescent="0.2">
      <c r="A323" s="73"/>
      <c r="F323" s="1"/>
    </row>
    <row r="324" spans="1:6" x14ac:dyDescent="0.2">
      <c r="A324" s="73"/>
      <c r="F324" s="1"/>
    </row>
    <row r="325" spans="1:6" x14ac:dyDescent="0.2">
      <c r="A325" s="73"/>
      <c r="F325" s="1"/>
    </row>
    <row r="326" spans="1:6" x14ac:dyDescent="0.2">
      <c r="A326" s="73"/>
      <c r="F326" s="1"/>
    </row>
    <row r="327" spans="1:6" x14ac:dyDescent="0.2">
      <c r="A327" s="73"/>
      <c r="F327" s="1"/>
    </row>
    <row r="328" spans="1:6" x14ac:dyDescent="0.2">
      <c r="A328" s="73"/>
      <c r="F328" s="1"/>
    </row>
    <row r="329" spans="1:6" x14ac:dyDescent="0.2">
      <c r="A329" s="73"/>
      <c r="F329" s="1"/>
    </row>
    <row r="330" spans="1:6" x14ac:dyDescent="0.2">
      <c r="A330" s="73"/>
      <c r="F330" s="1"/>
    </row>
    <row r="331" spans="1:6" x14ac:dyDescent="0.2">
      <c r="A331" s="73"/>
      <c r="F331" s="1"/>
    </row>
    <row r="332" spans="1:6" x14ac:dyDescent="0.2">
      <c r="A332" s="73"/>
      <c r="F332" s="1"/>
    </row>
    <row r="333" spans="1:6" x14ac:dyDescent="0.2">
      <c r="A333" s="73"/>
      <c r="F333" s="1"/>
    </row>
    <row r="334" spans="1:6" x14ac:dyDescent="0.2">
      <c r="A334" s="73"/>
      <c r="F334" s="1"/>
    </row>
    <row r="335" spans="1:6" x14ac:dyDescent="0.2">
      <c r="A335" s="73"/>
      <c r="F335" s="1"/>
    </row>
    <row r="336" spans="1:6" x14ac:dyDescent="0.2">
      <c r="A336" s="73"/>
      <c r="F336" s="1"/>
    </row>
    <row r="337" spans="1:6" x14ac:dyDescent="0.2">
      <c r="A337" s="73"/>
      <c r="F337" s="1"/>
    </row>
    <row r="338" spans="1:6" x14ac:dyDescent="0.2">
      <c r="A338" s="73"/>
      <c r="F338" s="1"/>
    </row>
    <row r="339" spans="1:6" x14ac:dyDescent="0.2">
      <c r="A339" s="73"/>
      <c r="F339" s="1"/>
    </row>
    <row r="340" spans="1:6" x14ac:dyDescent="0.2">
      <c r="A340" s="73"/>
      <c r="F340" s="1"/>
    </row>
    <row r="341" spans="1:6" x14ac:dyDescent="0.2">
      <c r="A341" s="73"/>
      <c r="F341" s="1"/>
    </row>
    <row r="342" spans="1:6" x14ac:dyDescent="0.2">
      <c r="A342" s="73"/>
      <c r="F342" s="1"/>
    </row>
    <row r="343" spans="1:6" x14ac:dyDescent="0.2">
      <c r="A343" s="73"/>
      <c r="F343" s="1"/>
    </row>
    <row r="344" spans="1:6" x14ac:dyDescent="0.2">
      <c r="A344" s="73"/>
      <c r="F344" s="1"/>
    </row>
    <row r="345" spans="1:6" x14ac:dyDescent="0.2">
      <c r="A345" s="73"/>
      <c r="F345" s="1"/>
    </row>
    <row r="346" spans="1:6" x14ac:dyDescent="0.2">
      <c r="A346" s="73"/>
      <c r="F346" s="1"/>
    </row>
    <row r="347" spans="1:6" x14ac:dyDescent="0.2">
      <c r="A347" s="73"/>
      <c r="F347" s="1"/>
    </row>
    <row r="348" spans="1:6" x14ac:dyDescent="0.2">
      <c r="A348" s="73"/>
      <c r="F348" s="1"/>
    </row>
    <row r="349" spans="1:6" x14ac:dyDescent="0.2">
      <c r="A349" s="73"/>
      <c r="F349" s="1"/>
    </row>
    <row r="350" spans="1:6" x14ac:dyDescent="0.2">
      <c r="A350" s="73"/>
      <c r="F350" s="1"/>
    </row>
    <row r="351" spans="1:6" x14ac:dyDescent="0.2">
      <c r="A351" s="73"/>
      <c r="F351" s="1"/>
    </row>
    <row r="352" spans="1:6" x14ac:dyDescent="0.2">
      <c r="A352" s="73"/>
      <c r="F352" s="1"/>
    </row>
    <row r="353" spans="1:6" x14ac:dyDescent="0.2">
      <c r="A353" s="73"/>
      <c r="F353" s="1"/>
    </row>
    <row r="354" spans="1:6" x14ac:dyDescent="0.2">
      <c r="A354" s="73"/>
      <c r="F354" s="1"/>
    </row>
    <row r="355" spans="1:6" x14ac:dyDescent="0.2">
      <c r="A355" s="73"/>
      <c r="F355" s="1"/>
    </row>
    <row r="356" spans="1:6" x14ac:dyDescent="0.2">
      <c r="A356" s="73"/>
      <c r="F356" s="1"/>
    </row>
    <row r="357" spans="1:6" x14ac:dyDescent="0.2">
      <c r="A357" s="73"/>
      <c r="F357" s="1"/>
    </row>
    <row r="358" spans="1:6" x14ac:dyDescent="0.2">
      <c r="A358" s="73"/>
      <c r="F358" s="1"/>
    </row>
    <row r="359" spans="1:6" x14ac:dyDescent="0.2">
      <c r="A359" s="73"/>
      <c r="F359" s="1"/>
    </row>
    <row r="360" spans="1:6" x14ac:dyDescent="0.2">
      <c r="A360" s="73"/>
      <c r="F360" s="1"/>
    </row>
    <row r="361" spans="1:6" x14ac:dyDescent="0.2">
      <c r="A361" s="73"/>
      <c r="F361" s="1"/>
    </row>
    <row r="362" spans="1:6" x14ac:dyDescent="0.2">
      <c r="A362" s="73"/>
      <c r="F362" s="1"/>
    </row>
    <row r="363" spans="1:6" x14ac:dyDescent="0.2">
      <c r="A363" s="73"/>
      <c r="F363" s="1"/>
    </row>
    <row r="364" spans="1:6" x14ac:dyDescent="0.2">
      <c r="A364" s="73"/>
      <c r="F364" s="1"/>
    </row>
    <row r="365" spans="1:6" x14ac:dyDescent="0.2">
      <c r="A365" s="73"/>
      <c r="F365" s="1"/>
    </row>
    <row r="366" spans="1:6" x14ac:dyDescent="0.2">
      <c r="A366" s="73"/>
      <c r="F366" s="1"/>
    </row>
    <row r="367" spans="1:6" x14ac:dyDescent="0.2">
      <c r="A367" s="73"/>
      <c r="F367" s="1"/>
    </row>
    <row r="368" spans="1:6" x14ac:dyDescent="0.2">
      <c r="A368" s="73"/>
      <c r="F368" s="1"/>
    </row>
    <row r="369" spans="1:6" x14ac:dyDescent="0.2">
      <c r="A369" s="73"/>
      <c r="F369" s="1"/>
    </row>
    <row r="370" spans="1:6" x14ac:dyDescent="0.2">
      <c r="A370" s="73"/>
      <c r="F370" s="1"/>
    </row>
    <row r="371" spans="1:6" x14ac:dyDescent="0.2">
      <c r="A371" s="73"/>
      <c r="F371" s="1"/>
    </row>
    <row r="372" spans="1:6" x14ac:dyDescent="0.2">
      <c r="A372" s="73"/>
      <c r="F372" s="1"/>
    </row>
    <row r="373" spans="1:6" x14ac:dyDescent="0.2">
      <c r="A373" s="73"/>
      <c r="F373" s="1"/>
    </row>
    <row r="374" spans="1:6" x14ac:dyDescent="0.2">
      <c r="A374" s="73"/>
      <c r="F374" s="1"/>
    </row>
    <row r="375" spans="1:6" x14ac:dyDescent="0.2">
      <c r="A375" s="73"/>
      <c r="F375" s="1"/>
    </row>
    <row r="376" spans="1:6" x14ac:dyDescent="0.2">
      <c r="A376" s="73"/>
      <c r="F376" s="1"/>
    </row>
    <row r="377" spans="1:6" x14ac:dyDescent="0.2">
      <c r="A377" s="73"/>
      <c r="F377" s="1"/>
    </row>
    <row r="378" spans="1:6" x14ac:dyDescent="0.2">
      <c r="A378" s="73"/>
      <c r="F378" s="1"/>
    </row>
    <row r="379" spans="1:6" x14ac:dyDescent="0.2">
      <c r="A379" s="73"/>
      <c r="F379" s="1"/>
    </row>
    <row r="380" spans="1:6" x14ac:dyDescent="0.2">
      <c r="A380" s="73"/>
      <c r="F380" s="1"/>
    </row>
    <row r="381" spans="1:6" x14ac:dyDescent="0.2">
      <c r="A381" s="73"/>
      <c r="F381" s="1"/>
    </row>
    <row r="382" spans="1:6" x14ac:dyDescent="0.2">
      <c r="A382" s="73"/>
      <c r="F382" s="1"/>
    </row>
    <row r="383" spans="1:6" x14ac:dyDescent="0.2">
      <c r="A383" s="73"/>
      <c r="F383" s="1"/>
    </row>
    <row r="384" spans="1:6" x14ac:dyDescent="0.2">
      <c r="A384" s="73"/>
      <c r="F384" s="1"/>
    </row>
    <row r="385" spans="1:6" x14ac:dyDescent="0.2">
      <c r="A385" s="73"/>
      <c r="F385" s="1"/>
    </row>
    <row r="386" spans="1:6" x14ac:dyDescent="0.2">
      <c r="A386" s="73"/>
      <c r="F386" s="1"/>
    </row>
    <row r="387" spans="1:6" x14ac:dyDescent="0.2">
      <c r="A387" s="73"/>
      <c r="F387" s="1"/>
    </row>
    <row r="388" spans="1:6" x14ac:dyDescent="0.2">
      <c r="A388" s="73"/>
      <c r="F388" s="1"/>
    </row>
    <row r="389" spans="1:6" x14ac:dyDescent="0.2">
      <c r="A389" s="73"/>
      <c r="F389" s="1"/>
    </row>
    <row r="390" spans="1:6" x14ac:dyDescent="0.2">
      <c r="A390" s="73"/>
      <c r="F390" s="1"/>
    </row>
    <row r="391" spans="1:6" x14ac:dyDescent="0.2">
      <c r="A391" s="73"/>
      <c r="F391" s="1"/>
    </row>
    <row r="392" spans="1:6" x14ac:dyDescent="0.2">
      <c r="A392" s="73"/>
      <c r="F392" s="1"/>
    </row>
    <row r="393" spans="1:6" x14ac:dyDescent="0.2">
      <c r="A393" s="73"/>
      <c r="F393" s="1"/>
    </row>
    <row r="394" spans="1:6" x14ac:dyDescent="0.2">
      <c r="A394" s="73"/>
      <c r="F394" s="1"/>
    </row>
    <row r="395" spans="1:6" x14ac:dyDescent="0.2">
      <c r="A395" s="73"/>
      <c r="F395" s="1"/>
    </row>
    <row r="396" spans="1:6" x14ac:dyDescent="0.2">
      <c r="A396" s="73"/>
      <c r="F396" s="1"/>
    </row>
    <row r="397" spans="1:6" x14ac:dyDescent="0.2">
      <c r="A397" s="73"/>
      <c r="F397" s="1"/>
    </row>
    <row r="398" spans="1:6" x14ac:dyDescent="0.2">
      <c r="A398" s="73"/>
      <c r="F398" s="1"/>
    </row>
    <row r="399" spans="1:6" x14ac:dyDescent="0.2">
      <c r="A399" s="73"/>
      <c r="F399" s="1"/>
    </row>
    <row r="400" spans="1:6" x14ac:dyDescent="0.2">
      <c r="A400" s="73"/>
      <c r="F400" s="1"/>
    </row>
    <row r="401" spans="1:6" x14ac:dyDescent="0.2">
      <c r="A401" s="73"/>
      <c r="F401" s="1"/>
    </row>
    <row r="402" spans="1:6" x14ac:dyDescent="0.2">
      <c r="A402" s="73"/>
      <c r="F402" s="1"/>
    </row>
    <row r="403" spans="1:6" x14ac:dyDescent="0.2">
      <c r="A403" s="73"/>
      <c r="F403" s="1"/>
    </row>
    <row r="404" spans="1:6" x14ac:dyDescent="0.2">
      <c r="A404" s="73"/>
      <c r="F404" s="1"/>
    </row>
    <row r="405" spans="1:6" x14ac:dyDescent="0.2">
      <c r="A405" s="73"/>
      <c r="F405" s="1"/>
    </row>
    <row r="406" spans="1:6" x14ac:dyDescent="0.2">
      <c r="A406" s="73"/>
      <c r="F406" s="1"/>
    </row>
    <row r="407" spans="1:6" x14ac:dyDescent="0.2">
      <c r="A407" s="73"/>
      <c r="F407" s="1"/>
    </row>
    <row r="408" spans="1:6" x14ac:dyDescent="0.2">
      <c r="A408" s="73"/>
      <c r="F408" s="1"/>
    </row>
    <row r="409" spans="1:6" x14ac:dyDescent="0.2">
      <c r="A409" s="73"/>
      <c r="F409" s="1"/>
    </row>
    <row r="410" spans="1:6" x14ac:dyDescent="0.2">
      <c r="A410" s="73"/>
      <c r="F410" s="1"/>
    </row>
    <row r="411" spans="1:6" x14ac:dyDescent="0.2">
      <c r="A411" s="73"/>
      <c r="F411" s="1"/>
    </row>
    <row r="412" spans="1:6" x14ac:dyDescent="0.2">
      <c r="A412" s="73"/>
      <c r="F412" s="1"/>
    </row>
    <row r="413" spans="1:6" x14ac:dyDescent="0.2">
      <c r="A413" s="73"/>
      <c r="F413" s="1"/>
    </row>
    <row r="414" spans="1:6" x14ac:dyDescent="0.2">
      <c r="A414" s="73"/>
      <c r="F414" s="1"/>
    </row>
    <row r="415" spans="1:6" x14ac:dyDescent="0.2">
      <c r="A415" s="73"/>
      <c r="F415" s="1"/>
    </row>
    <row r="416" spans="1:6" x14ac:dyDescent="0.2">
      <c r="A416" s="73"/>
      <c r="F416" s="1"/>
    </row>
    <row r="417" spans="1:6" x14ac:dyDescent="0.2">
      <c r="A417" s="73"/>
      <c r="F417" s="1"/>
    </row>
    <row r="418" spans="1:6" x14ac:dyDescent="0.2">
      <c r="A418" s="73"/>
      <c r="F418" s="1"/>
    </row>
    <row r="419" spans="1:6" x14ac:dyDescent="0.2">
      <c r="A419" s="73"/>
      <c r="F419" s="1"/>
    </row>
    <row r="420" spans="1:6" x14ac:dyDescent="0.2">
      <c r="A420" s="73"/>
      <c r="F420" s="1"/>
    </row>
    <row r="421" spans="1:6" x14ac:dyDescent="0.2">
      <c r="A421" s="73"/>
      <c r="F421" s="1"/>
    </row>
    <row r="422" spans="1:6" x14ac:dyDescent="0.2">
      <c r="A422" s="73"/>
      <c r="F422" s="1"/>
    </row>
    <row r="423" spans="1:6" x14ac:dyDescent="0.2">
      <c r="A423" s="73"/>
      <c r="F423" s="1"/>
    </row>
    <row r="424" spans="1:6" x14ac:dyDescent="0.2">
      <c r="A424" s="73"/>
      <c r="F424" s="1"/>
    </row>
    <row r="425" spans="1:6" x14ac:dyDescent="0.2">
      <c r="A425" s="73"/>
      <c r="F425" s="1"/>
    </row>
    <row r="426" spans="1:6" x14ac:dyDescent="0.2">
      <c r="A426" s="73"/>
      <c r="F426" s="1"/>
    </row>
    <row r="427" spans="1:6" x14ac:dyDescent="0.2">
      <c r="A427" s="73"/>
      <c r="F427" s="1"/>
    </row>
    <row r="428" spans="1:6" x14ac:dyDescent="0.2">
      <c r="A428" s="73"/>
      <c r="F428" s="1"/>
    </row>
    <row r="429" spans="1:6" x14ac:dyDescent="0.2">
      <c r="A429" s="73"/>
      <c r="F429" s="1"/>
    </row>
    <row r="430" spans="1:6" x14ac:dyDescent="0.2">
      <c r="A430" s="73"/>
      <c r="F430" s="1"/>
    </row>
    <row r="431" spans="1:6" x14ac:dyDescent="0.2">
      <c r="A431" s="73"/>
      <c r="F431" s="1"/>
    </row>
    <row r="432" spans="1:6" x14ac:dyDescent="0.2">
      <c r="A432" s="73"/>
      <c r="F432" s="1"/>
    </row>
    <row r="433" spans="1:6" x14ac:dyDescent="0.2">
      <c r="A433" s="73"/>
      <c r="F433" s="1"/>
    </row>
    <row r="434" spans="1:6" x14ac:dyDescent="0.2">
      <c r="A434" s="73"/>
      <c r="F434" s="1"/>
    </row>
    <row r="435" spans="1:6" x14ac:dyDescent="0.2">
      <c r="A435" s="73"/>
      <c r="F435" s="1"/>
    </row>
    <row r="436" spans="1:6" x14ac:dyDescent="0.2">
      <c r="A436" s="73"/>
      <c r="F436" s="1"/>
    </row>
    <row r="437" spans="1:6" x14ac:dyDescent="0.2">
      <c r="A437" s="73"/>
      <c r="F437" s="1"/>
    </row>
    <row r="438" spans="1:6" x14ac:dyDescent="0.2">
      <c r="A438" s="73"/>
      <c r="F438" s="1"/>
    </row>
    <row r="439" spans="1:6" x14ac:dyDescent="0.2">
      <c r="A439" s="73"/>
      <c r="F439" s="1"/>
    </row>
    <row r="440" spans="1:6" x14ac:dyDescent="0.2">
      <c r="A440" s="73"/>
      <c r="F440" s="1"/>
    </row>
    <row r="441" spans="1:6" x14ac:dyDescent="0.2">
      <c r="A441" s="73"/>
      <c r="F441" s="1"/>
    </row>
    <row r="442" spans="1:6" x14ac:dyDescent="0.2">
      <c r="A442" s="73"/>
      <c r="F442" s="1"/>
    </row>
    <row r="443" spans="1:6" x14ac:dyDescent="0.2">
      <c r="A443" s="73"/>
      <c r="F443" s="1"/>
    </row>
    <row r="444" spans="1:6" x14ac:dyDescent="0.2">
      <c r="A444" s="73"/>
      <c r="F444" s="1"/>
    </row>
    <row r="445" spans="1:6" x14ac:dyDescent="0.2">
      <c r="A445" s="73"/>
      <c r="F445" s="1"/>
    </row>
    <row r="446" spans="1:6" x14ac:dyDescent="0.2">
      <c r="A446" s="73"/>
      <c r="F446" s="1"/>
    </row>
    <row r="447" spans="1:6" x14ac:dyDescent="0.2">
      <c r="A447" s="73"/>
      <c r="F447" s="1"/>
    </row>
    <row r="448" spans="1:6" x14ac:dyDescent="0.2">
      <c r="A448" s="73"/>
      <c r="F448" s="1"/>
    </row>
    <row r="449" spans="1:6" x14ac:dyDescent="0.2">
      <c r="A449" s="73"/>
      <c r="F449" s="1"/>
    </row>
    <row r="450" spans="1:6" x14ac:dyDescent="0.2">
      <c r="A450" s="73"/>
      <c r="F450" s="1"/>
    </row>
    <row r="451" spans="1:6" x14ac:dyDescent="0.2">
      <c r="A451" s="73"/>
      <c r="F451" s="1"/>
    </row>
    <row r="452" spans="1:6" x14ac:dyDescent="0.2">
      <c r="A452" s="73"/>
      <c r="F452" s="1"/>
    </row>
    <row r="453" spans="1:6" x14ac:dyDescent="0.2">
      <c r="A453" s="73"/>
      <c r="F453" s="1"/>
    </row>
    <row r="454" spans="1:6" x14ac:dyDescent="0.2">
      <c r="A454" s="73"/>
      <c r="F454" s="1"/>
    </row>
    <row r="455" spans="1:6" x14ac:dyDescent="0.2">
      <c r="A455" s="73"/>
      <c r="F455" s="1"/>
    </row>
    <row r="456" spans="1:6" x14ac:dyDescent="0.2">
      <c r="A456" s="73"/>
      <c r="F456" s="1"/>
    </row>
    <row r="457" spans="1:6" x14ac:dyDescent="0.2">
      <c r="A457" s="73"/>
      <c r="F457" s="1"/>
    </row>
    <row r="458" spans="1:6" x14ac:dyDescent="0.2">
      <c r="A458" s="73"/>
      <c r="F458" s="1"/>
    </row>
    <row r="459" spans="1:6" x14ac:dyDescent="0.2">
      <c r="A459" s="73"/>
      <c r="F459" s="1"/>
    </row>
    <row r="460" spans="1:6" x14ac:dyDescent="0.2">
      <c r="A460" s="73"/>
      <c r="F460" s="1"/>
    </row>
    <row r="461" spans="1:6" x14ac:dyDescent="0.2">
      <c r="A461" s="73"/>
      <c r="F461" s="1"/>
    </row>
    <row r="462" spans="1:6" x14ac:dyDescent="0.2">
      <c r="A462" s="73"/>
      <c r="F462" s="1"/>
    </row>
    <row r="463" spans="1:6" x14ac:dyDescent="0.2">
      <c r="A463" s="73"/>
      <c r="F463" s="1"/>
    </row>
    <row r="464" spans="1:6" x14ac:dyDescent="0.2">
      <c r="A464" s="73"/>
      <c r="F464" s="1"/>
    </row>
    <row r="465" spans="1:6" x14ac:dyDescent="0.2">
      <c r="A465" s="73"/>
      <c r="F465" s="1"/>
    </row>
  </sheetData>
  <conditionalFormatting sqref="E16:F1048576 D1:E15">
    <cfRule type="cellIs" dxfId="0" priority="3" operator="lessThan">
      <formula>0</formula>
    </cfRule>
  </conditionalFormatting>
  <dataValidations count="1">
    <dataValidation type="decimal" operator="greaterThan" allowBlank="1" showInputMessage="1" showErrorMessage="1" sqref="D2:E15" xr:uid="{BC97EF9E-4DAD-404F-B5FA-9B4C2D08A4A4}">
      <formula1>-999999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EB1D37-F31E-B647-A261-8086E9349099}">
          <x14:formula1>
            <xm:f>Params!$D$48:$D$53</xm:f>
          </x14:formula1>
          <xm:sqref>C2:C15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6BE3-77A2-424E-AF38-2B1D58E26BB5}">
  <dimension ref="C2:O128"/>
  <sheetViews>
    <sheetView topLeftCell="A74" zoomScale="130" zoomScaleNormal="130" workbookViewId="0">
      <selection activeCell="N61" sqref="N61"/>
    </sheetView>
  </sheetViews>
  <sheetFormatPr baseColWidth="10" defaultRowHeight="16" x14ac:dyDescent="0.2"/>
  <cols>
    <col min="1" max="1" width="10.5" customWidth="1"/>
    <col min="2" max="2" width="11" customWidth="1"/>
    <col min="3" max="3" width="17.5" customWidth="1"/>
    <col min="4" max="4" width="27.5" customWidth="1"/>
    <col min="5" max="5" width="48.1640625" customWidth="1"/>
    <col min="7" max="7" width="11.83203125" customWidth="1"/>
    <col min="16" max="18" width="11.33203125" customWidth="1"/>
  </cols>
  <sheetData>
    <row r="2" spans="4:5" x14ac:dyDescent="0.2">
      <c r="D2" s="64" t="s">
        <v>226</v>
      </c>
      <c r="E2" s="65"/>
    </row>
    <row r="3" spans="4:5" x14ac:dyDescent="0.2">
      <c r="D3" s="62" t="s">
        <v>91</v>
      </c>
      <c r="E3" s="63" t="s">
        <v>90</v>
      </c>
    </row>
    <row r="4" spans="4:5" x14ac:dyDescent="0.2">
      <c r="D4" s="60">
        <v>0</v>
      </c>
      <c r="E4" s="61" t="s">
        <v>80</v>
      </c>
    </row>
    <row r="5" spans="4:5" x14ac:dyDescent="0.2">
      <c r="D5" s="60">
        <v>0.04</v>
      </c>
      <c r="E5" s="61" t="s">
        <v>81</v>
      </c>
    </row>
    <row r="6" spans="4:5" x14ac:dyDescent="0.2">
      <c r="D6" s="60">
        <v>0.06</v>
      </c>
      <c r="E6" s="61" t="s">
        <v>82</v>
      </c>
    </row>
    <row r="7" spans="4:5" x14ac:dyDescent="0.2">
      <c r="D7" s="60">
        <v>0.15</v>
      </c>
      <c r="E7" s="61" t="s">
        <v>83</v>
      </c>
    </row>
    <row r="8" spans="4:5" x14ac:dyDescent="0.2">
      <c r="D8" s="60">
        <v>0.16</v>
      </c>
      <c r="E8" s="61" t="s">
        <v>84</v>
      </c>
    </row>
    <row r="9" spans="4:5" x14ac:dyDescent="0.2">
      <c r="D9" s="60">
        <v>0.17</v>
      </c>
      <c r="E9" s="61" t="s">
        <v>85</v>
      </c>
    </row>
    <row r="10" spans="4:5" x14ac:dyDescent="0.2">
      <c r="D10" s="60">
        <v>0.19</v>
      </c>
      <c r="E10" s="61" t="s">
        <v>86</v>
      </c>
    </row>
    <row r="11" spans="4:5" x14ac:dyDescent="0.2">
      <c r="D11" s="60">
        <v>0.2</v>
      </c>
      <c r="E11" s="61" t="s">
        <v>87</v>
      </c>
    </row>
    <row r="12" spans="4:5" x14ac:dyDescent="0.2">
      <c r="D12" s="60">
        <v>0.21</v>
      </c>
      <c r="E12" s="61" t="s">
        <v>88</v>
      </c>
    </row>
    <row r="13" spans="4:5" x14ac:dyDescent="0.2">
      <c r="D13" s="60">
        <v>0.22</v>
      </c>
      <c r="E13" s="61" t="s">
        <v>89</v>
      </c>
    </row>
    <row r="16" spans="4:5" x14ac:dyDescent="0.2">
      <c r="D16" t="s">
        <v>120</v>
      </c>
      <c r="E16" t="s">
        <v>108</v>
      </c>
    </row>
    <row r="17" spans="4:8" x14ac:dyDescent="0.2">
      <c r="D17" t="s">
        <v>190</v>
      </c>
      <c r="E17" t="s">
        <v>191</v>
      </c>
    </row>
    <row r="18" spans="4:8" x14ac:dyDescent="0.2">
      <c r="D18" t="s">
        <v>20</v>
      </c>
      <c r="E18" t="s">
        <v>93</v>
      </c>
    </row>
    <row r="19" spans="4:8" x14ac:dyDescent="0.2">
      <c r="D19" t="s">
        <v>21</v>
      </c>
      <c r="E19" t="s">
        <v>92</v>
      </c>
    </row>
    <row r="20" spans="4:8" x14ac:dyDescent="0.2">
      <c r="D20" t="s">
        <v>141</v>
      </c>
      <c r="E20" t="s">
        <v>94</v>
      </c>
    </row>
    <row r="21" spans="4:8" x14ac:dyDescent="0.2">
      <c r="D21" t="s">
        <v>22</v>
      </c>
    </row>
    <row r="22" spans="4:8" x14ac:dyDescent="0.2">
      <c r="D22" t="s">
        <v>95</v>
      </c>
      <c r="E22" t="s">
        <v>96</v>
      </c>
    </row>
    <row r="23" spans="4:8" x14ac:dyDescent="0.2">
      <c r="D23" t="s">
        <v>207</v>
      </c>
      <c r="E23" t="s">
        <v>208</v>
      </c>
    </row>
    <row r="24" spans="4:8" x14ac:dyDescent="0.2">
      <c r="D24" t="s">
        <v>17</v>
      </c>
      <c r="E24" t="s">
        <v>97</v>
      </c>
    </row>
    <row r="25" spans="4:8" x14ac:dyDescent="0.2">
      <c r="D25" t="s">
        <v>41</v>
      </c>
      <c r="E25" s="5" t="s">
        <v>98</v>
      </c>
    </row>
    <row r="26" spans="4:8" x14ac:dyDescent="0.2">
      <c r="D26" t="s">
        <v>99</v>
      </c>
      <c r="E26" t="s">
        <v>100</v>
      </c>
    </row>
    <row r="27" spans="4:8" x14ac:dyDescent="0.2">
      <c r="D27" t="s">
        <v>18</v>
      </c>
      <c r="E27" t="s">
        <v>54</v>
      </c>
    </row>
    <row r="28" spans="4:8" x14ac:dyDescent="0.2">
      <c r="D28" t="s">
        <v>40</v>
      </c>
      <c r="E28" t="s">
        <v>101</v>
      </c>
    </row>
    <row r="29" spans="4:8" x14ac:dyDescent="0.2">
      <c r="D29" t="s">
        <v>19</v>
      </c>
      <c r="E29" t="s">
        <v>102</v>
      </c>
    </row>
    <row r="30" spans="4:8" x14ac:dyDescent="0.2">
      <c r="D30" t="s">
        <v>23</v>
      </c>
      <c r="E30" t="s">
        <v>103</v>
      </c>
      <c r="G30" t="s">
        <v>171</v>
      </c>
    </row>
    <row r="31" spans="4:8" x14ac:dyDescent="0.2">
      <c r="D31" t="s">
        <v>133</v>
      </c>
      <c r="E31" t="s">
        <v>104</v>
      </c>
      <c r="G31" t="str">
        <f>tblExpense[[#This Row],[ExpenseCategory]]</f>
        <v>X-Bottle O2 change</v>
      </c>
      <c r="H31">
        <v>15</v>
      </c>
    </row>
    <row r="32" spans="4:8" x14ac:dyDescent="0.2">
      <c r="D32" t="s">
        <v>134</v>
      </c>
      <c r="E32" t="s">
        <v>0</v>
      </c>
      <c r="G32" t="str">
        <f>tblExpense[[#This Row],[ExpenseCategory]]</f>
        <v>X-Change engine OVH</v>
      </c>
      <c r="H32">
        <v>12</v>
      </c>
    </row>
    <row r="33" spans="3:15" x14ac:dyDescent="0.2">
      <c r="D33" t="s">
        <v>135</v>
      </c>
      <c r="E33" t="s">
        <v>65</v>
      </c>
      <c r="G33" t="str">
        <f>tblExpense[[#This Row],[ExpenseCategory]]</f>
        <v>X-OVH propeller governor</v>
      </c>
      <c r="H33">
        <v>5</v>
      </c>
    </row>
    <row r="34" spans="3:15" x14ac:dyDescent="0.2">
      <c r="D34" t="s">
        <v>136</v>
      </c>
      <c r="E34" t="s">
        <v>66</v>
      </c>
      <c r="G34" t="str">
        <f>tblExpense[[#This Row],[ExpenseCategory]]</f>
        <v>X-Prop OVH</v>
      </c>
      <c r="H34">
        <v>6</v>
      </c>
    </row>
    <row r="35" spans="3:15" x14ac:dyDescent="0.2">
      <c r="D35" t="s">
        <v>137</v>
      </c>
      <c r="E35" t="s">
        <v>67</v>
      </c>
      <c r="G35" t="str">
        <f>tblExpense[[#This Row],[ExpenseCategory]]</f>
        <v>X-OVH ducts</v>
      </c>
      <c r="H35">
        <v>6</v>
      </c>
    </row>
    <row r="36" spans="3:15" x14ac:dyDescent="0.2">
      <c r="D36" t="s">
        <v>138</v>
      </c>
      <c r="E36" t="s">
        <v>68</v>
      </c>
      <c r="G36" t="str">
        <f>tblExpense[[#This Row],[ExpenseCategory]]</f>
        <v>X-GTN 650</v>
      </c>
      <c r="H36">
        <v>8</v>
      </c>
    </row>
    <row r="37" spans="3:15" x14ac:dyDescent="0.2">
      <c r="D37" t="s">
        <v>139</v>
      </c>
      <c r="E37" t="s">
        <v>105</v>
      </c>
      <c r="G37" t="str">
        <f>tblExpense[[#This Row],[ExpenseCategory]]</f>
        <v>X-Landing gear replacement</v>
      </c>
      <c r="H37">
        <v>50</v>
      </c>
    </row>
    <row r="38" spans="3:15" x14ac:dyDescent="0.2">
      <c r="D38" t="s">
        <v>142</v>
      </c>
      <c r="E38" t="s">
        <v>106</v>
      </c>
      <c r="G38" t="str">
        <f>tblExpense[[#This Row],[ExpenseCategory]]</f>
        <v>X-Raft, Life vests, masks O2</v>
      </c>
      <c r="H38">
        <v>10</v>
      </c>
    </row>
    <row r="39" spans="3:15" x14ac:dyDescent="0.2">
      <c r="D39" t="s">
        <v>140</v>
      </c>
      <c r="E39" t="s">
        <v>107</v>
      </c>
      <c r="G39" t="str">
        <f>tblExpense[[#This Row],[ExpenseCategory]]</f>
        <v>X-Change propeller hub</v>
      </c>
      <c r="H39">
        <v>50</v>
      </c>
    </row>
    <row r="41" spans="3:15" x14ac:dyDescent="0.2">
      <c r="C41" s="6" t="s">
        <v>245</v>
      </c>
      <c r="D41" s="6" t="s">
        <v>225</v>
      </c>
      <c r="E41" s="6" t="s">
        <v>229</v>
      </c>
      <c r="F41" s="6" t="s">
        <v>224</v>
      </c>
    </row>
    <row r="42" spans="3:15" x14ac:dyDescent="0.2">
      <c r="C42" t="s">
        <v>244</v>
      </c>
      <c r="D42" t="s">
        <v>181</v>
      </c>
      <c r="E42" t="s">
        <v>220</v>
      </c>
      <c r="F42" t="s">
        <v>227</v>
      </c>
    </row>
    <row r="43" spans="3:15" x14ac:dyDescent="0.2">
      <c r="C43" t="s">
        <v>246</v>
      </c>
      <c r="D43" t="s">
        <v>182</v>
      </c>
      <c r="E43" t="s">
        <v>221</v>
      </c>
      <c r="F43" t="s">
        <v>228</v>
      </c>
    </row>
    <row r="44" spans="3:15" x14ac:dyDescent="0.2">
      <c r="C44" t="s">
        <v>253</v>
      </c>
      <c r="D44" t="s">
        <v>183</v>
      </c>
      <c r="E44" t="s">
        <v>222</v>
      </c>
    </row>
    <row r="45" spans="3:15" x14ac:dyDescent="0.2">
      <c r="C45" t="s">
        <v>254</v>
      </c>
      <c r="D45" t="s">
        <v>184</v>
      </c>
    </row>
    <row r="47" spans="3:15" x14ac:dyDescent="0.2">
      <c r="D47" s="6" t="s">
        <v>176</v>
      </c>
    </row>
    <row r="48" spans="3:15" x14ac:dyDescent="0.2">
      <c r="D48" s="9"/>
      <c r="E48" s="14">
        <v>2020</v>
      </c>
      <c r="F48" s="14">
        <v>2021</v>
      </c>
      <c r="G48" s="14">
        <v>2022</v>
      </c>
      <c r="H48" s="14">
        <v>2023</v>
      </c>
      <c r="I48" s="14">
        <v>2024</v>
      </c>
      <c r="J48" s="14">
        <v>2025</v>
      </c>
      <c r="K48" s="14">
        <v>2026</v>
      </c>
      <c r="L48" s="14">
        <v>2027</v>
      </c>
      <c r="M48" s="14">
        <v>2028</v>
      </c>
      <c r="N48" s="14">
        <v>2029</v>
      </c>
      <c r="O48" s="15">
        <v>2030</v>
      </c>
    </row>
    <row r="49" spans="4:15" x14ac:dyDescent="0.2">
      <c r="D49" s="16" t="s">
        <v>110</v>
      </c>
      <c r="E49" s="104">
        <v>0</v>
      </c>
      <c r="F49" s="104">
        <v>0</v>
      </c>
      <c r="G49" s="104">
        <v>0</v>
      </c>
      <c r="H49" s="104">
        <v>0</v>
      </c>
      <c r="I49" s="104">
        <v>0</v>
      </c>
      <c r="J49" s="104">
        <v>0</v>
      </c>
      <c r="K49" s="104">
        <v>0</v>
      </c>
      <c r="L49" s="104"/>
      <c r="M49" s="104"/>
      <c r="N49" s="104"/>
      <c r="O49" s="105"/>
    </row>
    <row r="50" spans="4:15" x14ac:dyDescent="0.2">
      <c r="D50" s="17" t="s">
        <v>111</v>
      </c>
      <c r="E50" s="106">
        <v>0</v>
      </c>
      <c r="F50" s="106">
        <v>0</v>
      </c>
      <c r="G50" s="106">
        <v>0</v>
      </c>
      <c r="H50" s="106">
        <v>0</v>
      </c>
      <c r="I50" s="106">
        <v>0</v>
      </c>
      <c r="J50" s="106">
        <v>0</v>
      </c>
      <c r="K50" s="106">
        <v>0</v>
      </c>
      <c r="L50" s="106"/>
      <c r="M50" s="106"/>
      <c r="N50" s="106"/>
      <c r="O50" s="107"/>
    </row>
    <row r="51" spans="4:15" x14ac:dyDescent="0.2">
      <c r="D51" s="16" t="s">
        <v>112</v>
      </c>
      <c r="E51" s="104">
        <v>0.33333333333333331</v>
      </c>
      <c r="F51" s="104">
        <v>0.33333333333333331</v>
      </c>
      <c r="G51" s="104">
        <v>0.33333333333333331</v>
      </c>
      <c r="H51" s="104">
        <v>0.2</v>
      </c>
      <c r="I51" s="104">
        <v>0.2</v>
      </c>
      <c r="J51" s="104">
        <v>0</v>
      </c>
      <c r="K51" s="104">
        <v>0</v>
      </c>
      <c r="L51" s="104"/>
      <c r="M51" s="104"/>
      <c r="N51" s="104"/>
      <c r="O51" s="105"/>
    </row>
    <row r="52" spans="4:15" x14ac:dyDescent="0.2">
      <c r="D52" s="17" t="s">
        <v>220</v>
      </c>
      <c r="E52" s="106">
        <v>0</v>
      </c>
      <c r="F52" s="106">
        <v>0</v>
      </c>
      <c r="G52" s="106">
        <v>0</v>
      </c>
      <c r="H52" s="106">
        <v>0</v>
      </c>
      <c r="I52" s="106">
        <v>0</v>
      </c>
      <c r="J52" s="106">
        <v>0</v>
      </c>
      <c r="K52" s="106">
        <v>0</v>
      </c>
      <c r="L52" s="106"/>
      <c r="M52" s="106"/>
      <c r="N52" s="106"/>
      <c r="O52" s="107"/>
    </row>
    <row r="53" spans="4:15" x14ac:dyDescent="0.2">
      <c r="D53" s="18" t="s">
        <v>114</v>
      </c>
      <c r="E53" s="108">
        <v>0.66666666666666663</v>
      </c>
      <c r="F53" s="108">
        <v>0.66666666666666663</v>
      </c>
      <c r="G53" s="108">
        <v>0.66666666666666663</v>
      </c>
      <c r="H53" s="108">
        <v>0.8</v>
      </c>
      <c r="I53" s="108">
        <v>0.8</v>
      </c>
      <c r="J53" s="108">
        <v>1</v>
      </c>
      <c r="K53" s="108">
        <v>1</v>
      </c>
      <c r="L53" s="108"/>
      <c r="M53" s="108"/>
      <c r="N53" s="108"/>
      <c r="O53" s="109"/>
    </row>
    <row r="54" spans="4:15" x14ac:dyDescent="0.2">
      <c r="D54" t="s">
        <v>109</v>
      </c>
      <c r="E54" s="26">
        <f>SUM(E49:E53)</f>
        <v>1</v>
      </c>
      <c r="F54" s="26"/>
      <c r="G54" s="26">
        <f t="shared" ref="G54:O54" si="0">SUM(G49:G53)</f>
        <v>1</v>
      </c>
      <c r="H54" s="26">
        <f t="shared" si="0"/>
        <v>1</v>
      </c>
      <c r="I54" s="26">
        <f t="shared" si="0"/>
        <v>1</v>
      </c>
      <c r="J54" s="26">
        <f t="shared" si="0"/>
        <v>1</v>
      </c>
      <c r="K54" s="26">
        <f t="shared" si="0"/>
        <v>1</v>
      </c>
      <c r="L54" s="26">
        <f t="shared" si="0"/>
        <v>0</v>
      </c>
      <c r="M54" s="26">
        <f t="shared" si="0"/>
        <v>0</v>
      </c>
      <c r="N54" s="26">
        <f t="shared" si="0"/>
        <v>0</v>
      </c>
      <c r="O54" s="26">
        <f t="shared" si="0"/>
        <v>0</v>
      </c>
    </row>
    <row r="55" spans="4:15" x14ac:dyDescent="0.2">
      <c r="D55" s="6" t="s">
        <v>119</v>
      </c>
    </row>
    <row r="56" spans="4:15" x14ac:dyDescent="0.2">
      <c r="D56" t="s">
        <v>121</v>
      </c>
      <c r="E56" s="1" t="s">
        <v>118</v>
      </c>
      <c r="F56" t="s">
        <v>125</v>
      </c>
    </row>
    <row r="57" spans="4:15" x14ac:dyDescent="0.2">
      <c r="D57" t="s">
        <v>110</v>
      </c>
      <c r="E57" s="1">
        <v>2020</v>
      </c>
      <c r="F57">
        <v>0</v>
      </c>
    </row>
    <row r="58" spans="4:15" x14ac:dyDescent="0.2">
      <c r="D58" t="s">
        <v>110</v>
      </c>
      <c r="E58" s="1">
        <v>2021</v>
      </c>
      <c r="F58">
        <v>0</v>
      </c>
    </row>
    <row r="59" spans="4:15" x14ac:dyDescent="0.2">
      <c r="D59" t="s">
        <v>110</v>
      </c>
      <c r="E59" s="1">
        <v>2022</v>
      </c>
      <c r="F59">
        <v>0</v>
      </c>
    </row>
    <row r="60" spans="4:15" x14ac:dyDescent="0.2">
      <c r="D60" t="s">
        <v>110</v>
      </c>
      <c r="E60" s="1">
        <v>2023</v>
      </c>
      <c r="F60">
        <v>0</v>
      </c>
    </row>
    <row r="61" spans="4:15" x14ac:dyDescent="0.2">
      <c r="D61" t="s">
        <v>110</v>
      </c>
      <c r="E61" s="1">
        <v>2024</v>
      </c>
      <c r="F61">
        <v>0</v>
      </c>
    </row>
    <row r="62" spans="4:15" x14ac:dyDescent="0.2">
      <c r="D62" t="s">
        <v>110</v>
      </c>
      <c r="E62" s="1">
        <v>2025</v>
      </c>
      <c r="F62">
        <v>0</v>
      </c>
    </row>
    <row r="63" spans="4:15" x14ac:dyDescent="0.2">
      <c r="D63" t="s">
        <v>110</v>
      </c>
      <c r="E63" s="1">
        <v>2026</v>
      </c>
      <c r="F63">
        <v>0</v>
      </c>
    </row>
    <row r="64" spans="4:15" x14ac:dyDescent="0.2">
      <c r="D64" t="s">
        <v>111</v>
      </c>
      <c r="E64" s="1">
        <v>2020</v>
      </c>
      <c r="F64">
        <v>0</v>
      </c>
    </row>
    <row r="65" spans="4:6" x14ac:dyDescent="0.2">
      <c r="D65" t="s">
        <v>111</v>
      </c>
      <c r="E65" s="1">
        <v>2021</v>
      </c>
      <c r="F65">
        <v>0</v>
      </c>
    </row>
    <row r="66" spans="4:6" x14ac:dyDescent="0.2">
      <c r="D66" t="s">
        <v>111</v>
      </c>
      <c r="E66" s="1">
        <v>2022</v>
      </c>
      <c r="F66">
        <v>0</v>
      </c>
    </row>
    <row r="67" spans="4:6" x14ac:dyDescent="0.2">
      <c r="D67" t="s">
        <v>111</v>
      </c>
      <c r="E67" s="1">
        <v>2023</v>
      </c>
      <c r="F67">
        <v>0</v>
      </c>
    </row>
    <row r="68" spans="4:6" x14ac:dyDescent="0.2">
      <c r="D68" t="s">
        <v>111</v>
      </c>
      <c r="E68" s="1">
        <v>2024</v>
      </c>
      <c r="F68">
        <v>0</v>
      </c>
    </row>
    <row r="69" spans="4:6" x14ac:dyDescent="0.2">
      <c r="D69" t="s">
        <v>111</v>
      </c>
      <c r="E69" s="1">
        <v>2025</v>
      </c>
      <c r="F69">
        <v>0</v>
      </c>
    </row>
    <row r="70" spans="4:6" x14ac:dyDescent="0.2">
      <c r="D70" t="s">
        <v>111</v>
      </c>
      <c r="E70" s="1">
        <v>2026</v>
      </c>
      <c r="F70">
        <v>0</v>
      </c>
    </row>
    <row r="71" spans="4:6" x14ac:dyDescent="0.2">
      <c r="D71" t="s">
        <v>112</v>
      </c>
      <c r="E71" s="1">
        <v>2020</v>
      </c>
      <c r="F71">
        <v>0.33333333333333331</v>
      </c>
    </row>
    <row r="72" spans="4:6" x14ac:dyDescent="0.2">
      <c r="D72" t="s">
        <v>112</v>
      </c>
      <c r="E72" s="1">
        <v>2021</v>
      </c>
      <c r="F72">
        <v>0.33333333333333331</v>
      </c>
    </row>
    <row r="73" spans="4:6" x14ac:dyDescent="0.2">
      <c r="D73" t="s">
        <v>112</v>
      </c>
      <c r="E73" s="1">
        <v>2022</v>
      </c>
      <c r="F73">
        <v>0.33333333333333331</v>
      </c>
    </row>
    <row r="74" spans="4:6" x14ac:dyDescent="0.2">
      <c r="D74" t="s">
        <v>112</v>
      </c>
      <c r="E74" s="1">
        <v>2023</v>
      </c>
      <c r="F74">
        <v>0.2</v>
      </c>
    </row>
    <row r="75" spans="4:6" x14ac:dyDescent="0.2">
      <c r="D75" t="s">
        <v>112</v>
      </c>
      <c r="E75" s="1">
        <v>2024</v>
      </c>
      <c r="F75">
        <v>0.2</v>
      </c>
    </row>
    <row r="76" spans="4:6" x14ac:dyDescent="0.2">
      <c r="D76" t="s">
        <v>112</v>
      </c>
      <c r="E76" s="1">
        <v>2025</v>
      </c>
      <c r="F76">
        <v>0</v>
      </c>
    </row>
    <row r="77" spans="4:6" x14ac:dyDescent="0.2">
      <c r="D77" t="s">
        <v>112</v>
      </c>
      <c r="E77" s="1">
        <v>2026</v>
      </c>
      <c r="F77">
        <v>0</v>
      </c>
    </row>
    <row r="78" spans="4:6" x14ac:dyDescent="0.2">
      <c r="D78" t="s">
        <v>220</v>
      </c>
      <c r="E78" s="1">
        <v>2020</v>
      </c>
      <c r="F78">
        <v>0</v>
      </c>
    </row>
    <row r="79" spans="4:6" x14ac:dyDescent="0.2">
      <c r="D79" t="s">
        <v>220</v>
      </c>
      <c r="E79" s="1">
        <v>2021</v>
      </c>
      <c r="F79">
        <v>0</v>
      </c>
    </row>
    <row r="80" spans="4:6" x14ac:dyDescent="0.2">
      <c r="D80" t="s">
        <v>220</v>
      </c>
      <c r="E80" s="1">
        <v>2022</v>
      </c>
      <c r="F80">
        <v>0</v>
      </c>
    </row>
    <row r="81" spans="4:15" x14ac:dyDescent="0.2">
      <c r="D81" t="s">
        <v>220</v>
      </c>
      <c r="E81" s="1">
        <v>2023</v>
      </c>
      <c r="F81">
        <v>0</v>
      </c>
    </row>
    <row r="82" spans="4:15" x14ac:dyDescent="0.2">
      <c r="D82" t="s">
        <v>220</v>
      </c>
      <c r="E82" s="1">
        <v>2024</v>
      </c>
      <c r="F82">
        <v>0</v>
      </c>
    </row>
    <row r="83" spans="4:15" x14ac:dyDescent="0.2">
      <c r="D83" t="s">
        <v>220</v>
      </c>
      <c r="E83" s="1">
        <v>2025</v>
      </c>
      <c r="F83">
        <v>0</v>
      </c>
    </row>
    <row r="84" spans="4:15" x14ac:dyDescent="0.2">
      <c r="D84" t="s">
        <v>220</v>
      </c>
      <c r="E84" s="1">
        <v>2026</v>
      </c>
      <c r="F84">
        <v>0</v>
      </c>
    </row>
    <row r="85" spans="4:15" x14ac:dyDescent="0.2">
      <c r="D85" t="s">
        <v>114</v>
      </c>
      <c r="E85" s="1">
        <v>2020</v>
      </c>
      <c r="F85">
        <v>0.66666666666666663</v>
      </c>
    </row>
    <row r="86" spans="4:15" x14ac:dyDescent="0.2">
      <c r="D86" t="s">
        <v>114</v>
      </c>
      <c r="E86" s="1">
        <v>2021</v>
      </c>
      <c r="F86">
        <v>0.66666666666666663</v>
      </c>
    </row>
    <row r="87" spans="4:15" x14ac:dyDescent="0.2">
      <c r="D87" t="s">
        <v>114</v>
      </c>
      <c r="E87" s="1">
        <v>2022</v>
      </c>
      <c r="F87">
        <v>0.66666666666666663</v>
      </c>
    </row>
    <row r="88" spans="4:15" x14ac:dyDescent="0.2">
      <c r="D88" t="s">
        <v>114</v>
      </c>
      <c r="E88" s="1">
        <v>2023</v>
      </c>
      <c r="F88">
        <v>0.8</v>
      </c>
    </row>
    <row r="89" spans="4:15" x14ac:dyDescent="0.2">
      <c r="D89" t="s">
        <v>114</v>
      </c>
      <c r="E89" s="1">
        <v>2024</v>
      </c>
      <c r="F89">
        <v>0.8</v>
      </c>
    </row>
    <row r="90" spans="4:15" x14ac:dyDescent="0.2">
      <c r="D90" t="s">
        <v>114</v>
      </c>
      <c r="E90" s="1">
        <v>2025</v>
      </c>
      <c r="F90">
        <v>1</v>
      </c>
    </row>
    <row r="91" spans="4:15" x14ac:dyDescent="0.2">
      <c r="D91" t="s">
        <v>114</v>
      </c>
      <c r="E91" s="1">
        <v>2026</v>
      </c>
      <c r="F91">
        <v>1</v>
      </c>
    </row>
    <row r="93" spans="4:15" x14ac:dyDescent="0.2">
      <c r="D93" s="6" t="s">
        <v>247</v>
      </c>
    </row>
    <row r="94" spans="4:15" x14ac:dyDescent="0.2">
      <c r="D94" s="9"/>
      <c r="E94" s="14">
        <v>2020</v>
      </c>
      <c r="F94" s="14">
        <v>2021</v>
      </c>
      <c r="G94" s="14">
        <v>2022</v>
      </c>
      <c r="H94" s="14">
        <v>2023</v>
      </c>
      <c r="I94" s="14">
        <v>2024</v>
      </c>
      <c r="J94" s="14">
        <v>2025</v>
      </c>
      <c r="K94" s="14">
        <v>2026</v>
      </c>
      <c r="L94" s="14">
        <v>2027</v>
      </c>
      <c r="M94" s="14">
        <v>2028</v>
      </c>
      <c r="N94" s="14">
        <v>2029</v>
      </c>
      <c r="O94" s="15">
        <v>2030</v>
      </c>
    </row>
    <row r="95" spans="4:15" x14ac:dyDescent="0.2">
      <c r="D95" s="16" t="s">
        <v>115</v>
      </c>
      <c r="E95" s="12">
        <v>220</v>
      </c>
      <c r="F95" s="12">
        <v>220</v>
      </c>
      <c r="G95" s="12">
        <v>220</v>
      </c>
      <c r="H95" s="12">
        <v>220</v>
      </c>
      <c r="I95" s="12">
        <v>250</v>
      </c>
      <c r="J95" s="12">
        <v>309</v>
      </c>
      <c r="K95" s="12">
        <v>340</v>
      </c>
      <c r="L95" s="12"/>
      <c r="M95" s="12"/>
      <c r="N95" s="12"/>
      <c r="O95" s="13"/>
    </row>
    <row r="96" spans="4:15" x14ac:dyDescent="0.2">
      <c r="D96" s="17" t="s">
        <v>116</v>
      </c>
      <c r="E96" s="10">
        <v>220</v>
      </c>
      <c r="F96" s="10">
        <v>220</v>
      </c>
      <c r="G96" s="10">
        <v>220</v>
      </c>
      <c r="H96" s="10">
        <v>220</v>
      </c>
      <c r="I96" s="10">
        <v>220</v>
      </c>
      <c r="J96" s="10">
        <v>220</v>
      </c>
      <c r="K96" s="10">
        <v>305</v>
      </c>
      <c r="L96" s="10"/>
      <c r="M96" s="10"/>
      <c r="N96" s="10"/>
      <c r="O96" s="11"/>
    </row>
    <row r="97" spans="4:15" x14ac:dyDescent="0.2">
      <c r="D97" s="16" t="s">
        <v>113</v>
      </c>
      <c r="E97" s="12">
        <v>158</v>
      </c>
      <c r="F97" s="12">
        <v>158</v>
      </c>
      <c r="G97" s="12">
        <v>158</v>
      </c>
      <c r="H97" s="12">
        <v>0</v>
      </c>
      <c r="I97" s="12">
        <v>0</v>
      </c>
      <c r="J97" s="12">
        <v>0</v>
      </c>
      <c r="K97" s="12">
        <v>0</v>
      </c>
      <c r="L97" s="12"/>
      <c r="M97" s="12"/>
      <c r="N97" s="12"/>
      <c r="O97" s="13"/>
    </row>
    <row r="98" spans="4:15" x14ac:dyDescent="0.2">
      <c r="D98" s="19" t="s">
        <v>117</v>
      </c>
      <c r="E98" s="7">
        <v>158</v>
      </c>
      <c r="F98" s="7">
        <v>158</v>
      </c>
      <c r="G98" s="7">
        <v>158</v>
      </c>
      <c r="H98" s="7">
        <v>0</v>
      </c>
      <c r="I98" s="7">
        <v>0</v>
      </c>
      <c r="J98" s="7">
        <v>0</v>
      </c>
      <c r="K98" s="7">
        <v>0</v>
      </c>
      <c r="L98" s="7"/>
      <c r="M98" s="7"/>
      <c r="N98" s="7"/>
      <c r="O98" s="8"/>
    </row>
    <row r="99" spans="4:15" x14ac:dyDescent="0.2">
      <c r="D99" s="6" t="s">
        <v>124</v>
      </c>
    </row>
    <row r="100" spans="4:15" x14ac:dyDescent="0.2">
      <c r="D100" t="s">
        <v>122</v>
      </c>
      <c r="E100" t="s">
        <v>118</v>
      </c>
      <c r="F100" t="s">
        <v>123</v>
      </c>
    </row>
    <row r="101" spans="4:15" x14ac:dyDescent="0.2">
      <c r="D101" t="s">
        <v>115</v>
      </c>
      <c r="E101">
        <v>2020</v>
      </c>
      <c r="F101">
        <v>220</v>
      </c>
    </row>
    <row r="102" spans="4:15" x14ac:dyDescent="0.2">
      <c r="D102" t="s">
        <v>115</v>
      </c>
      <c r="E102">
        <v>2021</v>
      </c>
      <c r="F102">
        <v>220</v>
      </c>
    </row>
    <row r="103" spans="4:15" x14ac:dyDescent="0.2">
      <c r="D103" t="s">
        <v>115</v>
      </c>
      <c r="E103">
        <v>2022</v>
      </c>
      <c r="F103">
        <v>220</v>
      </c>
    </row>
    <row r="104" spans="4:15" x14ac:dyDescent="0.2">
      <c r="D104" t="s">
        <v>115</v>
      </c>
      <c r="E104">
        <v>2023</v>
      </c>
      <c r="F104">
        <v>220</v>
      </c>
    </row>
    <row r="105" spans="4:15" x14ac:dyDescent="0.2">
      <c r="D105" t="s">
        <v>115</v>
      </c>
      <c r="E105">
        <v>2024</v>
      </c>
      <c r="F105">
        <v>250</v>
      </c>
    </row>
    <row r="106" spans="4:15" x14ac:dyDescent="0.2">
      <c r="D106" t="s">
        <v>115</v>
      </c>
      <c r="E106">
        <v>2025</v>
      </c>
      <c r="F106">
        <v>309</v>
      </c>
    </row>
    <row r="107" spans="4:15" x14ac:dyDescent="0.2">
      <c r="D107" t="s">
        <v>115</v>
      </c>
      <c r="E107">
        <v>2026</v>
      </c>
      <c r="F107">
        <v>320</v>
      </c>
    </row>
    <row r="108" spans="4:15" x14ac:dyDescent="0.2">
      <c r="D108" t="s">
        <v>116</v>
      </c>
      <c r="E108">
        <v>2020</v>
      </c>
      <c r="F108">
        <v>220</v>
      </c>
    </row>
    <row r="109" spans="4:15" x14ac:dyDescent="0.2">
      <c r="D109" t="s">
        <v>116</v>
      </c>
      <c r="E109">
        <v>2021</v>
      </c>
      <c r="F109">
        <v>220</v>
      </c>
    </row>
    <row r="110" spans="4:15" x14ac:dyDescent="0.2">
      <c r="D110" t="s">
        <v>116</v>
      </c>
      <c r="E110">
        <v>2022</v>
      </c>
      <c r="F110">
        <v>220</v>
      </c>
    </row>
    <row r="111" spans="4:15" x14ac:dyDescent="0.2">
      <c r="D111" t="s">
        <v>116</v>
      </c>
      <c r="E111">
        <v>2023</v>
      </c>
      <c r="F111">
        <v>220</v>
      </c>
    </row>
    <row r="112" spans="4:15" x14ac:dyDescent="0.2">
      <c r="D112" t="s">
        <v>116</v>
      </c>
      <c r="E112">
        <v>2024</v>
      </c>
      <c r="F112">
        <v>220</v>
      </c>
    </row>
    <row r="113" spans="4:6" x14ac:dyDescent="0.2">
      <c r="D113" t="s">
        <v>116</v>
      </c>
      <c r="E113">
        <v>2025</v>
      </c>
      <c r="F113">
        <v>220</v>
      </c>
    </row>
    <row r="114" spans="4:6" x14ac:dyDescent="0.2">
      <c r="D114" t="s">
        <v>116</v>
      </c>
      <c r="E114">
        <v>2026</v>
      </c>
      <c r="F114">
        <v>305</v>
      </c>
    </row>
    <row r="115" spans="4:6" x14ac:dyDescent="0.2">
      <c r="D115" t="s">
        <v>113</v>
      </c>
      <c r="E115">
        <v>2020</v>
      </c>
      <c r="F115">
        <v>158</v>
      </c>
    </row>
    <row r="116" spans="4:6" x14ac:dyDescent="0.2">
      <c r="D116" t="s">
        <v>113</v>
      </c>
      <c r="E116">
        <v>2021</v>
      </c>
      <c r="F116">
        <v>158</v>
      </c>
    </row>
    <row r="117" spans="4:6" x14ac:dyDescent="0.2">
      <c r="D117" t="s">
        <v>113</v>
      </c>
      <c r="E117">
        <v>2022</v>
      </c>
      <c r="F117">
        <v>158</v>
      </c>
    </row>
    <row r="118" spans="4:6" x14ac:dyDescent="0.2">
      <c r="D118" t="s">
        <v>113</v>
      </c>
      <c r="E118">
        <v>2023</v>
      </c>
      <c r="F118">
        <v>0</v>
      </c>
    </row>
    <row r="119" spans="4:6" x14ac:dyDescent="0.2">
      <c r="D119" t="s">
        <v>113</v>
      </c>
      <c r="E119">
        <v>2024</v>
      </c>
      <c r="F119">
        <v>0</v>
      </c>
    </row>
    <row r="120" spans="4:6" x14ac:dyDescent="0.2">
      <c r="D120" t="s">
        <v>113</v>
      </c>
      <c r="E120">
        <v>2025</v>
      </c>
      <c r="F120">
        <v>0</v>
      </c>
    </row>
    <row r="121" spans="4:6" x14ac:dyDescent="0.2">
      <c r="D121" t="s">
        <v>113</v>
      </c>
      <c r="E121">
        <v>2026</v>
      </c>
      <c r="F121">
        <v>0</v>
      </c>
    </row>
    <row r="122" spans="4:6" x14ac:dyDescent="0.2">
      <c r="D122" t="s">
        <v>117</v>
      </c>
      <c r="E122">
        <v>2020</v>
      </c>
      <c r="F122">
        <v>158</v>
      </c>
    </row>
    <row r="123" spans="4:6" x14ac:dyDescent="0.2">
      <c r="D123" t="s">
        <v>117</v>
      </c>
      <c r="E123">
        <v>2021</v>
      </c>
      <c r="F123">
        <v>158</v>
      </c>
    </row>
    <row r="124" spans="4:6" x14ac:dyDescent="0.2">
      <c r="D124" t="s">
        <v>117</v>
      </c>
      <c r="E124">
        <v>2022</v>
      </c>
      <c r="F124">
        <v>158</v>
      </c>
    </row>
    <row r="125" spans="4:6" x14ac:dyDescent="0.2">
      <c r="D125" t="s">
        <v>117</v>
      </c>
      <c r="E125">
        <v>2023</v>
      </c>
      <c r="F125">
        <v>0</v>
      </c>
    </row>
    <row r="126" spans="4:6" x14ac:dyDescent="0.2">
      <c r="D126" t="s">
        <v>117</v>
      </c>
      <c r="E126">
        <v>2024</v>
      </c>
      <c r="F126">
        <v>0</v>
      </c>
    </row>
    <row r="127" spans="4:6" x14ac:dyDescent="0.2">
      <c r="D127" t="s">
        <v>117</v>
      </c>
      <c r="E127">
        <v>2025</v>
      </c>
      <c r="F127">
        <v>0</v>
      </c>
    </row>
    <row r="128" spans="4:6" x14ac:dyDescent="0.2">
      <c r="D128" t="s">
        <v>117</v>
      </c>
      <c r="E128">
        <v>2026</v>
      </c>
      <c r="F128">
        <v>0</v>
      </c>
    </row>
  </sheetData>
  <phoneticPr fontId="8" type="noConversion"/>
  <pageMargins left="0.7" right="0.7" top="0.75" bottom="0.75" header="0.3" footer="0.3"/>
  <ignoredErrors>
    <ignoredError sqref="E54 G54:O54" formulaRange="1"/>
  </ignoredErrors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FE0B-899B-2F44-B468-54CD84FA28D6}">
  <dimension ref="B2:L71"/>
  <sheetViews>
    <sheetView zoomScale="130" zoomScaleNormal="130" workbookViewId="0">
      <selection activeCell="F10" sqref="F10"/>
    </sheetView>
  </sheetViews>
  <sheetFormatPr baseColWidth="10" defaultRowHeight="16" x14ac:dyDescent="0.2"/>
  <cols>
    <col min="2" max="2" width="14.83203125" bestFit="1" customWidth="1"/>
    <col min="3" max="3" width="17" bestFit="1" customWidth="1"/>
    <col min="4" max="4" width="16" bestFit="1" customWidth="1"/>
    <col min="5" max="6" width="11" bestFit="1" customWidth="1"/>
    <col min="7" max="8" width="12" bestFit="1" customWidth="1"/>
    <col min="9" max="10" width="11" bestFit="1" customWidth="1"/>
    <col min="11" max="11" width="7.33203125" bestFit="1" customWidth="1"/>
    <col min="12" max="12" width="12" bestFit="1" customWidth="1"/>
    <col min="13" max="13" width="13.33203125" customWidth="1"/>
    <col min="14" max="14" width="19.6640625" bestFit="1" customWidth="1"/>
    <col min="15" max="15" width="16" bestFit="1" customWidth="1"/>
    <col min="16" max="20" width="12" bestFit="1" customWidth="1"/>
    <col min="21" max="21" width="7.33203125" bestFit="1" customWidth="1"/>
    <col min="22" max="22" width="13" bestFit="1" customWidth="1"/>
    <col min="23" max="23" width="12.83203125" bestFit="1" customWidth="1"/>
    <col min="24" max="29" width="17.5" bestFit="1" customWidth="1"/>
    <col min="30" max="30" width="21.6640625" bestFit="1" customWidth="1"/>
    <col min="31" max="31" width="22" bestFit="1" customWidth="1"/>
  </cols>
  <sheetData>
    <row r="2" spans="2:12" x14ac:dyDescent="0.2">
      <c r="B2" s="110" t="s">
        <v>336</v>
      </c>
    </row>
    <row r="3" spans="2:12" x14ac:dyDescent="0.2">
      <c r="B3" s="20" t="s">
        <v>217</v>
      </c>
      <c r="C3" s="20" t="s">
        <v>128</v>
      </c>
    </row>
    <row r="4" spans="2:12" x14ac:dyDescent="0.2">
      <c r="B4" s="20" t="s">
        <v>126</v>
      </c>
      <c r="C4">
        <v>2018</v>
      </c>
      <c r="D4">
        <v>2019</v>
      </c>
      <c r="E4">
        <v>2020</v>
      </c>
      <c r="F4">
        <v>2021</v>
      </c>
      <c r="G4">
        <v>2022</v>
      </c>
      <c r="H4">
        <v>2023</v>
      </c>
      <c r="I4">
        <v>2024</v>
      </c>
      <c r="J4">
        <v>2025</v>
      </c>
      <c r="K4">
        <v>2026</v>
      </c>
      <c r="L4" t="s">
        <v>127</v>
      </c>
    </row>
    <row r="5" spans="2:12" x14ac:dyDescent="0.2">
      <c r="B5" s="5" t="s">
        <v>19</v>
      </c>
      <c r="C5" s="23"/>
      <c r="D5" s="23"/>
      <c r="E5" s="23">
        <v>330.23250000000002</v>
      </c>
      <c r="F5" s="23"/>
      <c r="G5" s="23"/>
      <c r="H5" s="23"/>
      <c r="I5" s="23"/>
      <c r="J5" s="23"/>
      <c r="K5" s="23"/>
      <c r="L5" s="23">
        <v>330.23250000000002</v>
      </c>
    </row>
    <row r="6" spans="2:12" x14ac:dyDescent="0.2">
      <c r="B6" s="5" t="s">
        <v>17</v>
      </c>
      <c r="C6" s="23"/>
      <c r="D6" s="23"/>
      <c r="E6" s="23"/>
      <c r="F6" s="23">
        <v>15.350399999999999</v>
      </c>
      <c r="G6" s="23"/>
      <c r="H6" s="23"/>
      <c r="I6" s="23"/>
      <c r="J6" s="23"/>
      <c r="K6" s="23"/>
      <c r="L6" s="23">
        <v>15.350399999999999</v>
      </c>
    </row>
    <row r="7" spans="2:12" x14ac:dyDescent="0.2">
      <c r="B7" s="5" t="s">
        <v>18</v>
      </c>
      <c r="C7" s="23"/>
      <c r="D7" s="23"/>
      <c r="E7" s="23"/>
      <c r="F7" s="23">
        <v>0</v>
      </c>
      <c r="G7" s="23"/>
      <c r="H7" s="23"/>
      <c r="I7" s="23"/>
      <c r="J7" s="23"/>
      <c r="K7" s="23"/>
      <c r="L7" s="23">
        <v>0</v>
      </c>
    </row>
    <row r="8" spans="2:12" x14ac:dyDescent="0.2">
      <c r="B8" s="5" t="s">
        <v>41</v>
      </c>
      <c r="C8" s="23"/>
      <c r="D8" s="23"/>
      <c r="E8" s="23"/>
      <c r="F8" s="23">
        <v>467.67</v>
      </c>
      <c r="G8" s="23"/>
      <c r="H8" s="23"/>
      <c r="I8" s="23"/>
      <c r="J8" s="23">
        <v>0</v>
      </c>
      <c r="K8" s="23"/>
      <c r="L8" s="23">
        <v>467.67</v>
      </c>
    </row>
    <row r="9" spans="2:12" x14ac:dyDescent="0.2">
      <c r="B9" s="5" t="s">
        <v>23</v>
      </c>
      <c r="C9" s="23"/>
      <c r="D9" s="23"/>
      <c r="E9" s="23">
        <v>210.6</v>
      </c>
      <c r="F9" s="23"/>
      <c r="G9" s="23"/>
      <c r="H9" s="23"/>
      <c r="I9" s="23"/>
      <c r="J9" s="23"/>
      <c r="K9" s="23"/>
      <c r="L9" s="23">
        <v>210.6</v>
      </c>
    </row>
    <row r="10" spans="2:12" x14ac:dyDescent="0.2">
      <c r="B10" s="5" t="s">
        <v>40</v>
      </c>
      <c r="C10" s="23">
        <v>139.19489999999999</v>
      </c>
      <c r="D10" s="23">
        <v>159.12</v>
      </c>
      <c r="E10" s="23"/>
      <c r="F10" s="23"/>
      <c r="G10" s="23"/>
      <c r="H10" s="23"/>
      <c r="I10" s="23">
        <v>933.9525000000001</v>
      </c>
      <c r="J10" s="23"/>
      <c r="K10" s="23"/>
      <c r="L10" s="23">
        <v>1232.2674000000002</v>
      </c>
    </row>
    <row r="11" spans="2:12" x14ac:dyDescent="0.2">
      <c r="B11" s="5" t="s">
        <v>20</v>
      </c>
      <c r="C11" s="23"/>
      <c r="D11" s="23"/>
      <c r="E11" s="23"/>
      <c r="F11" s="23"/>
      <c r="G11" s="23"/>
      <c r="H11" s="23">
        <v>97.55</v>
      </c>
      <c r="I11" s="23">
        <v>345.19680000000005</v>
      </c>
      <c r="J11" s="23"/>
      <c r="K11" s="23"/>
      <c r="L11" s="23">
        <v>442.74680000000006</v>
      </c>
    </row>
    <row r="12" spans="2:12" x14ac:dyDescent="0.2">
      <c r="B12" s="5" t="s">
        <v>21</v>
      </c>
      <c r="C12" s="23"/>
      <c r="D12" s="23"/>
      <c r="E12" s="23"/>
      <c r="F12" s="23"/>
      <c r="G12" s="23">
        <v>1484.73</v>
      </c>
      <c r="H12" s="23"/>
      <c r="I12" s="23">
        <v>180.76499999999999</v>
      </c>
      <c r="J12" s="23">
        <v>0</v>
      </c>
      <c r="K12" s="23"/>
      <c r="L12" s="23">
        <v>1665.4949999999999</v>
      </c>
    </row>
    <row r="13" spans="2:12" x14ac:dyDescent="0.2">
      <c r="B13" s="5" t="s">
        <v>133</v>
      </c>
      <c r="C13" s="23"/>
      <c r="D13" s="23"/>
      <c r="E13" s="23"/>
      <c r="F13" s="23"/>
      <c r="G13" s="23"/>
      <c r="H13" s="23">
        <v>75.400000000000006</v>
      </c>
      <c r="I13" s="23"/>
      <c r="J13" s="23"/>
      <c r="K13" s="23"/>
      <c r="L13" s="23">
        <v>75.400000000000006</v>
      </c>
    </row>
    <row r="14" spans="2:12" x14ac:dyDescent="0.2">
      <c r="B14" s="5" t="s">
        <v>140</v>
      </c>
      <c r="C14" s="23"/>
      <c r="D14" s="23"/>
      <c r="E14" s="23">
        <v>0</v>
      </c>
      <c r="F14" s="23"/>
      <c r="G14" s="23"/>
      <c r="H14" s="23"/>
      <c r="I14" s="23"/>
      <c r="J14" s="23"/>
      <c r="K14" s="23"/>
      <c r="L14" s="23">
        <v>0</v>
      </c>
    </row>
    <row r="15" spans="2:12" x14ac:dyDescent="0.2">
      <c r="B15" s="5" t="s">
        <v>138</v>
      </c>
      <c r="C15" s="23"/>
      <c r="D15" s="23"/>
      <c r="E15" s="23"/>
      <c r="F15" s="23"/>
      <c r="G15" s="23">
        <v>142.80000000000001</v>
      </c>
      <c r="H15" s="23"/>
      <c r="I15" s="23"/>
      <c r="J15" s="23"/>
      <c r="K15" s="23"/>
      <c r="L15" s="23">
        <v>142.80000000000001</v>
      </c>
    </row>
    <row r="16" spans="2:12" x14ac:dyDescent="0.2">
      <c r="B16" s="5" t="s">
        <v>139</v>
      </c>
      <c r="C16" s="23"/>
      <c r="D16" s="23">
        <v>-24222.510000000002</v>
      </c>
      <c r="E16" s="23"/>
      <c r="F16" s="23"/>
      <c r="G16" s="23"/>
      <c r="H16" s="23"/>
      <c r="I16" s="23"/>
      <c r="J16" s="23"/>
      <c r="K16" s="23"/>
      <c r="L16" s="23">
        <v>-24222.510000000002</v>
      </c>
    </row>
    <row r="17" spans="2:12" x14ac:dyDescent="0.2">
      <c r="B17" s="5" t="s">
        <v>137</v>
      </c>
      <c r="C17" s="23"/>
      <c r="D17" s="23"/>
      <c r="E17" s="23"/>
      <c r="F17" s="23"/>
      <c r="G17" s="23"/>
      <c r="H17" s="23"/>
      <c r="I17" s="23">
        <v>843.57</v>
      </c>
      <c r="J17" s="23"/>
      <c r="K17" s="23"/>
      <c r="L17" s="23">
        <v>843.57</v>
      </c>
    </row>
    <row r="18" spans="2:12" x14ac:dyDescent="0.2">
      <c r="B18" s="5" t="s">
        <v>135</v>
      </c>
      <c r="C18" s="23"/>
      <c r="D18" s="23"/>
      <c r="E18" s="23"/>
      <c r="F18" s="23"/>
      <c r="G18" s="23"/>
      <c r="H18" s="23"/>
      <c r="I18" s="23"/>
      <c r="J18" s="23">
        <v>147.60720000000001</v>
      </c>
      <c r="K18" s="23"/>
      <c r="L18" s="23">
        <v>147.60720000000001</v>
      </c>
    </row>
    <row r="19" spans="2:12" x14ac:dyDescent="0.2">
      <c r="B19" s="5" t="s">
        <v>142</v>
      </c>
      <c r="C19" s="23"/>
      <c r="D19" s="23"/>
      <c r="E19" s="23"/>
      <c r="F19" s="23"/>
      <c r="G19" s="23"/>
      <c r="H19" s="23">
        <v>898.53660000000002</v>
      </c>
      <c r="I19" s="23"/>
      <c r="J19" s="23"/>
      <c r="K19" s="23"/>
      <c r="L19" s="23">
        <v>898.53660000000002</v>
      </c>
    </row>
    <row r="20" spans="2:12" x14ac:dyDescent="0.2">
      <c r="B20" s="5" t="s">
        <v>99</v>
      </c>
      <c r="C20" s="23"/>
      <c r="D20" s="23"/>
      <c r="E20" s="23"/>
      <c r="F20" s="23"/>
      <c r="G20" s="23">
        <v>651.37</v>
      </c>
      <c r="H20" s="23">
        <v>-1737.2</v>
      </c>
      <c r="I20" s="23"/>
      <c r="J20" s="23">
        <v>1093.8600000000001</v>
      </c>
      <c r="K20" s="23">
        <v>747.4</v>
      </c>
      <c r="L20" s="23">
        <v>755.43000000000018</v>
      </c>
    </row>
    <row r="21" spans="2:12" x14ac:dyDescent="0.2">
      <c r="B21" s="5" t="s">
        <v>141</v>
      </c>
      <c r="C21" s="23">
        <v>110.1</v>
      </c>
      <c r="D21" s="23"/>
      <c r="E21" s="23"/>
      <c r="F21" s="23"/>
      <c r="G21" s="23">
        <v>70</v>
      </c>
      <c r="H21" s="23">
        <v>49</v>
      </c>
      <c r="I21" s="23">
        <v>56</v>
      </c>
      <c r="J21" s="23">
        <v>0</v>
      </c>
      <c r="K21" s="23"/>
      <c r="L21" s="23">
        <v>285.10000000000002</v>
      </c>
    </row>
    <row r="22" spans="2:12" x14ac:dyDescent="0.2">
      <c r="B22" s="5" t="s">
        <v>95</v>
      </c>
      <c r="C22" s="23">
        <v>0</v>
      </c>
      <c r="D22" s="23"/>
      <c r="E22" s="23"/>
      <c r="F22" s="23">
        <v>-310.05</v>
      </c>
      <c r="G22" s="23"/>
      <c r="H22" s="23"/>
      <c r="I22" s="23"/>
      <c r="J22" s="23"/>
      <c r="K22" s="23"/>
      <c r="L22" s="23">
        <v>-310.05</v>
      </c>
    </row>
    <row r="23" spans="2:12" x14ac:dyDescent="0.2">
      <c r="B23" s="5" t="s">
        <v>127</v>
      </c>
      <c r="C23" s="23">
        <v>249.29489999999998</v>
      </c>
      <c r="D23" s="23">
        <v>-24063.390000000003</v>
      </c>
      <c r="E23" s="23">
        <v>540.83249999999998</v>
      </c>
      <c r="F23" s="23">
        <v>172.97039999999998</v>
      </c>
      <c r="G23" s="23">
        <v>2348.9</v>
      </c>
      <c r="H23" s="23">
        <v>-616.71340000000009</v>
      </c>
      <c r="I23" s="23">
        <v>2359.4843000000001</v>
      </c>
      <c r="J23" s="23">
        <v>1241.4672</v>
      </c>
      <c r="K23" s="23">
        <v>747.4</v>
      </c>
      <c r="L23" s="23">
        <v>-17019.754100000006</v>
      </c>
    </row>
    <row r="25" spans="2:12" x14ac:dyDescent="0.2">
      <c r="C25" s="42" t="s">
        <v>306</v>
      </c>
    </row>
    <row r="26" spans="2:12" x14ac:dyDescent="0.2">
      <c r="D26" s="20" t="s">
        <v>128</v>
      </c>
    </row>
    <row r="27" spans="2:12" x14ac:dyDescent="0.2">
      <c r="C27" s="20" t="s">
        <v>145</v>
      </c>
      <c r="D27" s="22">
        <v>2019</v>
      </c>
      <c r="E27" s="22">
        <v>2020</v>
      </c>
      <c r="F27" s="22">
        <v>2021</v>
      </c>
      <c r="G27" s="22">
        <v>2022</v>
      </c>
      <c r="H27" s="22">
        <v>2023</v>
      </c>
      <c r="I27" s="22">
        <v>2024</v>
      </c>
      <c r="J27" s="22">
        <v>2025</v>
      </c>
      <c r="K27" s="22">
        <v>2026</v>
      </c>
      <c r="L27" s="22" t="s">
        <v>127</v>
      </c>
    </row>
    <row r="28" spans="2:12" x14ac:dyDescent="0.2">
      <c r="C28" s="5" t="s">
        <v>129</v>
      </c>
      <c r="D28" s="2">
        <v>706.52</v>
      </c>
      <c r="E28" s="2">
        <v>2797.384348</v>
      </c>
      <c r="F28" s="2">
        <v>6838.09</v>
      </c>
      <c r="G28" s="2">
        <v>16356.23</v>
      </c>
      <c r="H28" s="2">
        <v>11437.44</v>
      </c>
      <c r="I28" s="2">
        <v>9795.1666000000005</v>
      </c>
      <c r="J28" s="2">
        <v>8818.2779999999984</v>
      </c>
      <c r="K28" s="2">
        <v>0.01</v>
      </c>
      <c r="L28" s="2">
        <v>56749.118948000003</v>
      </c>
    </row>
    <row r="29" spans="2:12" x14ac:dyDescent="0.2">
      <c r="C29" s="5" t="s">
        <v>144</v>
      </c>
      <c r="D29" s="23">
        <v>393.61999999999995</v>
      </c>
      <c r="E29" s="23">
        <v>1802.6200000000001</v>
      </c>
      <c r="F29" s="23">
        <v>3728.39</v>
      </c>
      <c r="G29" s="23">
        <v>6290.8499999999976</v>
      </c>
      <c r="H29" s="23">
        <v>4640.0499999999993</v>
      </c>
      <c r="I29" s="23">
        <v>4160.16</v>
      </c>
      <c r="J29" s="23">
        <v>4021.2100000000005</v>
      </c>
      <c r="K29" s="23">
        <v>3.7037037037037034E-3</v>
      </c>
      <c r="L29" s="23">
        <v>25036.903703703701</v>
      </c>
    </row>
    <row r="32" spans="2:12" x14ac:dyDescent="0.2">
      <c r="D32" s="42" t="s">
        <v>310</v>
      </c>
    </row>
    <row r="33" spans="2:12" x14ac:dyDescent="0.2">
      <c r="B33" s="35"/>
      <c r="E33" s="20" t="s">
        <v>128</v>
      </c>
    </row>
    <row r="34" spans="2:12" x14ac:dyDescent="0.2">
      <c r="E34" s="22">
        <v>2020</v>
      </c>
      <c r="F34" s="22">
        <v>2021</v>
      </c>
      <c r="G34" s="22">
        <v>2022</v>
      </c>
      <c r="H34" s="22">
        <v>2023</v>
      </c>
      <c r="I34" s="22">
        <v>2024</v>
      </c>
      <c r="J34" s="22">
        <v>2025</v>
      </c>
      <c r="K34" s="22">
        <v>2026</v>
      </c>
      <c r="L34" s="22" t="s">
        <v>127</v>
      </c>
    </row>
    <row r="35" spans="2:12" x14ac:dyDescent="0.2">
      <c r="D35" t="s">
        <v>317</v>
      </c>
      <c r="E35" s="23">
        <v>2.8000000000001819</v>
      </c>
      <c r="F35" s="23">
        <v>2.7000000000000455</v>
      </c>
      <c r="G35" s="23">
        <v>3.9000000000000909</v>
      </c>
      <c r="H35" s="23">
        <v>8.2999999999999545</v>
      </c>
      <c r="I35" s="23">
        <v>3.8000000000001819</v>
      </c>
      <c r="J35" s="23">
        <v>4.4999999999997726</v>
      </c>
      <c r="K35" s="23">
        <v>9.9999999999909051E-3</v>
      </c>
      <c r="L35" s="23">
        <v>26.010000000000218</v>
      </c>
    </row>
    <row r="38" spans="2:12" x14ac:dyDescent="0.2">
      <c r="B38" s="42" t="s">
        <v>164</v>
      </c>
    </row>
    <row r="39" spans="2:12" x14ac:dyDescent="0.2">
      <c r="B39" s="20" t="s">
        <v>217</v>
      </c>
      <c r="C39" s="20" t="s">
        <v>128</v>
      </c>
    </row>
    <row r="40" spans="2:12" x14ac:dyDescent="0.2">
      <c r="B40" s="20" t="s">
        <v>126</v>
      </c>
      <c r="C40">
        <v>2018</v>
      </c>
      <c r="D40">
        <v>2019</v>
      </c>
      <c r="E40">
        <v>2020</v>
      </c>
      <c r="F40">
        <v>2021</v>
      </c>
      <c r="G40">
        <v>2022</v>
      </c>
      <c r="H40">
        <v>2023</v>
      </c>
      <c r="I40">
        <v>2024</v>
      </c>
      <c r="J40">
        <v>2025</v>
      </c>
      <c r="K40">
        <v>2026</v>
      </c>
      <c r="L40" t="s">
        <v>127</v>
      </c>
    </row>
    <row r="41" spans="2:12" x14ac:dyDescent="0.2">
      <c r="B41" s="5" t="s">
        <v>148</v>
      </c>
      <c r="C41" s="23">
        <v>139.19489999999999</v>
      </c>
      <c r="D41" s="23">
        <v>159.12</v>
      </c>
      <c r="E41" s="23">
        <v>540.83249999999998</v>
      </c>
      <c r="F41" s="23">
        <v>172.97039999999998</v>
      </c>
      <c r="G41" s="23">
        <v>651.37</v>
      </c>
      <c r="H41" s="23">
        <v>-1737.2</v>
      </c>
      <c r="I41" s="23">
        <v>933.9525000000001</v>
      </c>
      <c r="J41" s="23">
        <v>1093.8600000000001</v>
      </c>
      <c r="K41" s="23">
        <v>747.4</v>
      </c>
      <c r="L41" s="23">
        <v>2701.5003000000002</v>
      </c>
    </row>
    <row r="42" spans="2:12" x14ac:dyDescent="0.2">
      <c r="B42" s="5" t="s">
        <v>149</v>
      </c>
      <c r="C42" s="23">
        <v>110.1</v>
      </c>
      <c r="D42" s="23"/>
      <c r="E42" s="23"/>
      <c r="F42" s="23"/>
      <c r="G42" s="23">
        <v>1554.73</v>
      </c>
      <c r="H42" s="23">
        <v>146.55000000000001</v>
      </c>
      <c r="I42" s="23">
        <v>581.96180000000004</v>
      </c>
      <c r="J42" s="23">
        <v>0</v>
      </c>
      <c r="K42" s="23"/>
      <c r="L42" s="23">
        <v>2393.3418000000001</v>
      </c>
    </row>
    <row r="43" spans="2:12" x14ac:dyDescent="0.2">
      <c r="B43" s="5" t="s">
        <v>150</v>
      </c>
      <c r="C43" s="23"/>
      <c r="D43" s="23">
        <v>-24222.510000000002</v>
      </c>
      <c r="E43" s="23">
        <v>0</v>
      </c>
      <c r="F43" s="23"/>
      <c r="G43" s="23">
        <v>142.80000000000001</v>
      </c>
      <c r="H43" s="23">
        <v>973.9366</v>
      </c>
      <c r="I43" s="23">
        <v>843.57</v>
      </c>
      <c r="J43" s="23">
        <v>147.60720000000001</v>
      </c>
      <c r="K43" s="23"/>
      <c r="L43" s="23">
        <v>-22114.596200000004</v>
      </c>
    </row>
    <row r="44" spans="2:12" x14ac:dyDescent="0.2">
      <c r="B44" s="5" t="s">
        <v>127</v>
      </c>
      <c r="C44" s="23">
        <v>249.29489999999998</v>
      </c>
      <c r="D44" s="23">
        <v>-24063.390000000003</v>
      </c>
      <c r="E44" s="23">
        <v>540.83249999999998</v>
      </c>
      <c r="F44" s="23">
        <v>172.97039999999998</v>
      </c>
      <c r="G44" s="23">
        <v>2348.9</v>
      </c>
      <c r="H44" s="23">
        <v>-616.71340000000009</v>
      </c>
      <c r="I44" s="23">
        <v>2359.4843000000001</v>
      </c>
      <c r="J44" s="23">
        <v>1241.4672</v>
      </c>
      <c r="K44" s="23">
        <v>747.4</v>
      </c>
      <c r="L44" s="23">
        <v>-17019.754100000006</v>
      </c>
    </row>
    <row r="47" spans="2:12" x14ac:dyDescent="0.2">
      <c r="D47" s="42" t="s">
        <v>308</v>
      </c>
    </row>
    <row r="48" spans="2:12" x14ac:dyDescent="0.2">
      <c r="D48" s="20" t="s">
        <v>262</v>
      </c>
      <c r="E48" s="20" t="s">
        <v>128</v>
      </c>
    </row>
    <row r="49" spans="2:12" x14ac:dyDescent="0.2">
      <c r="D49" s="20" t="s">
        <v>126</v>
      </c>
      <c r="E49">
        <v>2020</v>
      </c>
      <c r="F49">
        <v>2021</v>
      </c>
      <c r="G49">
        <v>2022</v>
      </c>
      <c r="H49">
        <v>2023</v>
      </c>
      <c r="I49">
        <v>2024</v>
      </c>
      <c r="J49">
        <v>2025</v>
      </c>
      <c r="K49">
        <v>2026</v>
      </c>
    </row>
    <row r="50" spans="2:12" x14ac:dyDescent="0.2">
      <c r="D50" s="5" t="s">
        <v>110</v>
      </c>
      <c r="E50" s="23"/>
      <c r="F50" s="23">
        <v>2600</v>
      </c>
      <c r="G50" s="23">
        <v>4736.17</v>
      </c>
      <c r="H50" s="23">
        <v>3740.54</v>
      </c>
      <c r="I50" s="23"/>
      <c r="J50" s="23"/>
      <c r="K50" s="23"/>
    </row>
    <row r="51" spans="2:12" x14ac:dyDescent="0.2">
      <c r="D51" s="5" t="s">
        <v>111</v>
      </c>
      <c r="E51" s="23">
        <v>3000</v>
      </c>
      <c r="F51" s="23">
        <v>6071.6</v>
      </c>
      <c r="G51" s="23">
        <v>6500</v>
      </c>
      <c r="H51" s="23">
        <v>3918.8200000000006</v>
      </c>
      <c r="I51" s="23">
        <v>2786.6800000000003</v>
      </c>
      <c r="J51" s="23">
        <v>2920</v>
      </c>
      <c r="K51" s="23"/>
    </row>
    <row r="52" spans="2:12" x14ac:dyDescent="0.2">
      <c r="D52" s="5" t="s">
        <v>112</v>
      </c>
      <c r="E52" s="23">
        <v>5000</v>
      </c>
      <c r="F52" s="23">
        <v>3806.04</v>
      </c>
      <c r="G52" s="23">
        <v>20618.09</v>
      </c>
      <c r="H52" s="23">
        <v>12432.27</v>
      </c>
      <c r="I52" s="23">
        <v>23971.75</v>
      </c>
      <c r="J52" s="23">
        <v>-1337</v>
      </c>
      <c r="K52" s="23"/>
    </row>
    <row r="53" spans="2:12" x14ac:dyDescent="0.2">
      <c r="D53" s="5" t="s">
        <v>114</v>
      </c>
      <c r="E53" s="23">
        <v>28000</v>
      </c>
      <c r="F53" s="23">
        <v>21209.059999999998</v>
      </c>
      <c r="G53" s="23">
        <v>39633.119999999995</v>
      </c>
      <c r="H53" s="23">
        <v>38703.770000000004</v>
      </c>
      <c r="I53" s="23">
        <v>46606.520000000004</v>
      </c>
      <c r="J53" s="23">
        <v>43029.729999999996</v>
      </c>
      <c r="K53" s="23">
        <v>3000</v>
      </c>
    </row>
    <row r="54" spans="2:12" x14ac:dyDescent="0.2">
      <c r="D54" s="5" t="s">
        <v>220</v>
      </c>
      <c r="E54" s="23"/>
      <c r="F54" s="23"/>
      <c r="G54" s="23">
        <v>325.69</v>
      </c>
      <c r="H54" s="23">
        <v>4169.28</v>
      </c>
      <c r="I54" s="23">
        <v>3955.8199999999993</v>
      </c>
      <c r="J54" s="23">
        <v>364.62</v>
      </c>
      <c r="K54" s="23"/>
    </row>
    <row r="57" spans="2:12" x14ac:dyDescent="0.2">
      <c r="B57" s="42" t="s">
        <v>211</v>
      </c>
    </row>
    <row r="58" spans="2:12" x14ac:dyDescent="0.2">
      <c r="C58" s="20" t="s">
        <v>128</v>
      </c>
    </row>
    <row r="59" spans="2:12" x14ac:dyDescent="0.2">
      <c r="C59">
        <v>2018</v>
      </c>
      <c r="D59">
        <v>2019</v>
      </c>
      <c r="E59">
        <v>2020</v>
      </c>
      <c r="F59">
        <v>2021</v>
      </c>
      <c r="G59">
        <v>2022</v>
      </c>
      <c r="H59">
        <v>2023</v>
      </c>
      <c r="I59">
        <v>2024</v>
      </c>
      <c r="J59">
        <v>2025</v>
      </c>
      <c r="K59">
        <v>2026</v>
      </c>
      <c r="L59" t="s">
        <v>127</v>
      </c>
    </row>
    <row r="60" spans="2:12" x14ac:dyDescent="0.2">
      <c r="B60" t="s">
        <v>210</v>
      </c>
      <c r="C60">
        <v>3.25</v>
      </c>
      <c r="D60">
        <v>0</v>
      </c>
      <c r="E60">
        <v>0</v>
      </c>
      <c r="F60">
        <v>0</v>
      </c>
      <c r="G60">
        <v>0</v>
      </c>
      <c r="H60">
        <v>0</v>
      </c>
      <c r="I60">
        <v>2.5</v>
      </c>
      <c r="J60">
        <v>1.25</v>
      </c>
      <c r="K60">
        <v>0</v>
      </c>
      <c r="L60">
        <v>7</v>
      </c>
    </row>
    <row r="63" spans="2:12" x14ac:dyDescent="0.2">
      <c r="D63" s="42" t="s">
        <v>307</v>
      </c>
    </row>
    <row r="64" spans="2:12" x14ac:dyDescent="0.2">
      <c r="D64" s="20" t="s">
        <v>319</v>
      </c>
      <c r="E64" s="20" t="s">
        <v>128</v>
      </c>
    </row>
    <row r="65" spans="4:12" x14ac:dyDescent="0.2">
      <c r="D65" s="20" t="s">
        <v>126</v>
      </c>
      <c r="E65" s="22">
        <v>2020</v>
      </c>
      <c r="F65" s="22">
        <v>2021</v>
      </c>
      <c r="G65" s="22">
        <v>2022</v>
      </c>
      <c r="H65" s="22">
        <v>2023</v>
      </c>
      <c r="I65" s="22">
        <v>2024</v>
      </c>
      <c r="J65" s="22">
        <v>2025</v>
      </c>
      <c r="K65" s="22">
        <v>2026</v>
      </c>
      <c r="L65" s="22" t="s">
        <v>127</v>
      </c>
    </row>
    <row r="66" spans="4:12" x14ac:dyDescent="0.2">
      <c r="D66" s="5" t="s">
        <v>220</v>
      </c>
      <c r="E66" s="2"/>
      <c r="F66" s="2"/>
      <c r="G66" s="2">
        <v>435.19051282109666</v>
      </c>
      <c r="H66" s="2"/>
      <c r="I66" s="2"/>
      <c r="J66" s="2"/>
      <c r="K66" s="2"/>
      <c r="L66" s="2">
        <v>435.19051282109666</v>
      </c>
    </row>
    <row r="67" spans="4:12" x14ac:dyDescent="0.2">
      <c r="D67" s="5" t="s">
        <v>110</v>
      </c>
      <c r="E67" s="2"/>
      <c r="F67" s="2"/>
      <c r="G67" s="2"/>
      <c r="H67" s="2">
        <v>4154.8125301207201</v>
      </c>
      <c r="I67" s="2"/>
      <c r="J67" s="2"/>
      <c r="K67" s="2"/>
      <c r="L67" s="2">
        <v>4154.8125301207201</v>
      </c>
    </row>
    <row r="68" spans="4:12" x14ac:dyDescent="0.2">
      <c r="D68" s="5" t="s">
        <v>111</v>
      </c>
      <c r="E68" s="2">
        <v>1041.3592547143326</v>
      </c>
      <c r="F68" s="2"/>
      <c r="G68" s="2">
        <v>13614.905897435196</v>
      </c>
      <c r="H68" s="2"/>
      <c r="I68" s="2"/>
      <c r="J68" s="2"/>
      <c r="K68" s="2"/>
      <c r="L68" s="2">
        <v>14656.265152149528</v>
      </c>
    </row>
    <row r="69" spans="4:12" x14ac:dyDescent="0.2">
      <c r="D69" s="5" t="s">
        <v>112</v>
      </c>
      <c r="E69" s="2"/>
      <c r="F69" s="2"/>
      <c r="G69" s="2"/>
      <c r="H69" s="2"/>
      <c r="I69" s="2">
        <v>4756.0482157893912</v>
      </c>
      <c r="J69" s="2"/>
      <c r="K69" s="2"/>
      <c r="L69" s="2">
        <v>4756.0482157893912</v>
      </c>
    </row>
    <row r="70" spans="4:12" x14ac:dyDescent="0.2">
      <c r="D70" s="5" t="s">
        <v>114</v>
      </c>
      <c r="E70" s="2">
        <v>2198.4250932856962</v>
      </c>
      <c r="F70" s="2">
        <v>7264.690000000006</v>
      </c>
      <c r="G70" s="2">
        <v>3046.3335897437191</v>
      </c>
      <c r="H70" s="2">
        <v>7854.6274698793095</v>
      </c>
      <c r="I70" s="2">
        <v>5413.1183842106193</v>
      </c>
      <c r="J70" s="2">
        <v>8818.2779999999984</v>
      </c>
      <c r="K70" s="2">
        <v>0.93016216839592591</v>
      </c>
      <c r="L70" s="2">
        <v>34596.402699287748</v>
      </c>
    </row>
    <row r="71" spans="4:12" x14ac:dyDescent="0.2">
      <c r="D71" s="5" t="s">
        <v>127</v>
      </c>
      <c r="E71" s="2">
        <v>3239.7843480000288</v>
      </c>
      <c r="F71" s="2">
        <v>7264.690000000006</v>
      </c>
      <c r="G71" s="2">
        <v>17096.430000000011</v>
      </c>
      <c r="H71" s="2">
        <v>12009.44000000003</v>
      </c>
      <c r="I71" s="2">
        <v>10169.166600000011</v>
      </c>
      <c r="J71" s="2">
        <v>8818.2779999999984</v>
      </c>
      <c r="K71" s="2">
        <v>0.93016216839592591</v>
      </c>
      <c r="L71" s="2">
        <v>58598.719110168488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10B7-4574-FB4E-8229-EE28494C76C3}">
  <dimension ref="A2:R151"/>
  <sheetViews>
    <sheetView zoomScale="130" zoomScaleNormal="130" workbookViewId="0">
      <selection activeCell="K48" sqref="K48"/>
    </sheetView>
  </sheetViews>
  <sheetFormatPr baseColWidth="10" defaultRowHeight="16" x14ac:dyDescent="0.2"/>
  <cols>
    <col min="1" max="1" width="10.83203125" style="111"/>
  </cols>
  <sheetData>
    <row r="2" spans="1:18" x14ac:dyDescent="0.2">
      <c r="A2" s="111" t="e" cm="1" vm="1">
        <f t="array" ref="A2">_xlfn.VSTACK(
_xlfn.CHOOSECOLS(tblTrips[#Headers],1,10),
_xlfn.CHOOSECOLS(_xlfn.DROP(tblTrips[],327),1,10)
)</f>
        <v>#VALUE!</v>
      </c>
      <c r="C2" t="s">
        <v>337</v>
      </c>
      <c r="F2" s="123" t="s">
        <v>338</v>
      </c>
      <c r="G2" s="124"/>
      <c r="H2" s="125"/>
      <c r="I2" s="123" t="s">
        <v>339</v>
      </c>
      <c r="J2" s="124"/>
      <c r="K2" s="125"/>
      <c r="L2" s="123" t="s">
        <v>340</v>
      </c>
      <c r="M2" s="124"/>
      <c r="N2" s="125"/>
      <c r="O2" s="123" t="s">
        <v>341</v>
      </c>
      <c r="P2" s="124"/>
      <c r="Q2" s="125"/>
    </row>
    <row r="3" spans="1:18" x14ac:dyDescent="0.2">
      <c r="C3">
        <f>1470.1-B3</f>
        <v>1470.1</v>
      </c>
      <c r="F3" t="s">
        <v>342</v>
      </c>
      <c r="G3" s="22">
        <f>AVERAGE(H4:H7)</f>
        <v>97.75</v>
      </c>
      <c r="H3" s="112"/>
      <c r="I3" t="s">
        <v>342</v>
      </c>
      <c r="J3" s="22">
        <f>AVERAGE(K6:K9)</f>
        <v>127.75</v>
      </c>
      <c r="K3" s="112"/>
      <c r="L3" t="s">
        <v>342</v>
      </c>
      <c r="M3" s="22">
        <f>AVERAGE(N11:N14)</f>
        <v>124.75</v>
      </c>
      <c r="N3" s="112"/>
      <c r="O3" t="s">
        <v>342</v>
      </c>
      <c r="P3" s="113">
        <f>AVERAGE(Q4:Q73,Q74:Q95,Q98:Q101,Q103,Q105,Q107:Q110,Q113:Q118,Q121:Q122,Q125:Q128,Q137:Q138,Q140:Q141,Q150:Q151)</f>
        <v>162.03333333333333</v>
      </c>
      <c r="Q3" s="114">
        <f>P3/M3-1</f>
        <v>0.29886439545758181</v>
      </c>
      <c r="R3" s="119" t="s">
        <v>442</v>
      </c>
    </row>
    <row r="4" spans="1:18" x14ac:dyDescent="0.2">
      <c r="C4">
        <f t="shared" ref="C4:C11" si="0">1470.1-B4</f>
        <v>1470.1</v>
      </c>
      <c r="F4" s="115">
        <v>43707</v>
      </c>
      <c r="G4" t="s">
        <v>343</v>
      </c>
      <c r="H4" s="116">
        <v>93</v>
      </c>
      <c r="I4" s="115">
        <v>43599</v>
      </c>
      <c r="J4" t="s">
        <v>344</v>
      </c>
      <c r="K4" s="116">
        <v>119</v>
      </c>
      <c r="L4" s="115">
        <v>43644</v>
      </c>
      <c r="M4" t="s">
        <v>345</v>
      </c>
      <c r="N4" s="116">
        <v>111</v>
      </c>
      <c r="O4" s="115">
        <v>45992</v>
      </c>
      <c r="P4" s="22" t="s">
        <v>346</v>
      </c>
      <c r="Q4" s="117">
        <v>168</v>
      </c>
    </row>
    <row r="5" spans="1:18" x14ac:dyDescent="0.2">
      <c r="C5">
        <f t="shared" si="0"/>
        <v>1470.1</v>
      </c>
      <c r="F5" s="115">
        <v>43707</v>
      </c>
      <c r="G5" t="s">
        <v>347</v>
      </c>
      <c r="H5" s="116">
        <v>94</v>
      </c>
      <c r="I5" s="115">
        <v>43589</v>
      </c>
      <c r="J5" t="s">
        <v>344</v>
      </c>
      <c r="K5" s="116">
        <v>127</v>
      </c>
      <c r="L5" s="115">
        <v>43644</v>
      </c>
      <c r="M5" t="s">
        <v>348</v>
      </c>
      <c r="N5" s="116">
        <v>113</v>
      </c>
      <c r="O5" s="115">
        <v>45990</v>
      </c>
      <c r="P5" s="22" t="s">
        <v>349</v>
      </c>
      <c r="Q5" s="117">
        <v>169</v>
      </c>
    </row>
    <row r="6" spans="1:18" x14ac:dyDescent="0.2">
      <c r="C6">
        <f t="shared" si="0"/>
        <v>1470.1</v>
      </c>
      <c r="F6" s="115">
        <v>43707</v>
      </c>
      <c r="G6" t="s">
        <v>350</v>
      </c>
      <c r="H6" s="116">
        <v>100</v>
      </c>
      <c r="I6" s="115">
        <v>43004</v>
      </c>
      <c r="J6" t="s">
        <v>351</v>
      </c>
      <c r="K6" s="118">
        <v>145</v>
      </c>
      <c r="L6" s="115">
        <v>43599</v>
      </c>
      <c r="M6" t="s">
        <v>344</v>
      </c>
      <c r="N6" s="116">
        <v>119</v>
      </c>
      <c r="O6" s="115">
        <v>45932</v>
      </c>
      <c r="P6" s="22" t="s">
        <v>352</v>
      </c>
      <c r="Q6" s="117">
        <v>185</v>
      </c>
    </row>
    <row r="7" spans="1:18" x14ac:dyDescent="0.2">
      <c r="C7">
        <f t="shared" si="0"/>
        <v>1470.1</v>
      </c>
      <c r="F7" s="115">
        <v>43707</v>
      </c>
      <c r="G7" t="s">
        <v>353</v>
      </c>
      <c r="H7" s="116">
        <v>104</v>
      </c>
      <c r="I7" s="115">
        <v>43003</v>
      </c>
      <c r="J7" t="s">
        <v>354</v>
      </c>
      <c r="K7" s="118">
        <v>119</v>
      </c>
      <c r="L7" s="115">
        <v>43680</v>
      </c>
      <c r="M7" t="s">
        <v>355</v>
      </c>
      <c r="N7" s="116">
        <v>105</v>
      </c>
      <c r="O7" s="115">
        <v>45928</v>
      </c>
      <c r="P7" s="22" t="s">
        <v>356</v>
      </c>
      <c r="Q7" s="117">
        <v>165</v>
      </c>
    </row>
    <row r="8" spans="1:18" x14ac:dyDescent="0.2">
      <c r="C8">
        <f t="shared" si="0"/>
        <v>1470.1</v>
      </c>
      <c r="I8" s="115">
        <v>43003</v>
      </c>
      <c r="J8" t="s">
        <v>357</v>
      </c>
      <c r="K8" s="118">
        <v>108</v>
      </c>
      <c r="L8" s="115">
        <v>43680</v>
      </c>
      <c r="M8" t="s">
        <v>358</v>
      </c>
      <c r="N8" s="116">
        <v>110</v>
      </c>
      <c r="O8" s="115">
        <v>45927</v>
      </c>
      <c r="P8" s="22" t="s">
        <v>359</v>
      </c>
      <c r="Q8" s="117">
        <v>168</v>
      </c>
    </row>
    <row r="9" spans="1:18" x14ac:dyDescent="0.2">
      <c r="C9">
        <f t="shared" si="0"/>
        <v>1470.1</v>
      </c>
      <c r="I9" s="115">
        <v>43001</v>
      </c>
      <c r="J9" t="s">
        <v>360</v>
      </c>
      <c r="K9" s="118">
        <v>139</v>
      </c>
      <c r="L9" s="115">
        <v>43644</v>
      </c>
      <c r="M9" t="s">
        <v>345</v>
      </c>
      <c r="N9" s="116">
        <v>111</v>
      </c>
      <c r="O9" s="115">
        <v>45920</v>
      </c>
      <c r="P9" s="22" t="s">
        <v>361</v>
      </c>
      <c r="Q9" s="117">
        <v>184</v>
      </c>
    </row>
    <row r="10" spans="1:18" x14ac:dyDescent="0.2">
      <c r="C10">
        <f t="shared" si="0"/>
        <v>1470.1</v>
      </c>
      <c r="L10" s="115">
        <v>43644</v>
      </c>
      <c r="M10" t="s">
        <v>348</v>
      </c>
      <c r="N10" s="116">
        <v>113</v>
      </c>
      <c r="O10" s="115">
        <v>45920</v>
      </c>
      <c r="P10" s="22" t="s">
        <v>362</v>
      </c>
      <c r="Q10" s="117">
        <v>141</v>
      </c>
    </row>
    <row r="11" spans="1:18" x14ac:dyDescent="0.2">
      <c r="C11">
        <f t="shared" si="0"/>
        <v>1470.1</v>
      </c>
      <c r="L11" s="115">
        <v>43242</v>
      </c>
      <c r="M11" t="s">
        <v>363</v>
      </c>
      <c r="N11" s="118">
        <v>127</v>
      </c>
      <c r="O11" s="115">
        <v>45907</v>
      </c>
      <c r="P11" s="22" t="s">
        <v>364</v>
      </c>
      <c r="Q11" s="117">
        <v>157</v>
      </c>
    </row>
    <row r="12" spans="1:18" x14ac:dyDescent="0.2">
      <c r="C12">
        <f>1517.5-B12</f>
        <v>1517.5</v>
      </c>
      <c r="L12" s="115">
        <v>43241</v>
      </c>
      <c r="M12" t="s">
        <v>365</v>
      </c>
      <c r="N12" s="118">
        <v>131</v>
      </c>
      <c r="O12" s="115">
        <v>45906</v>
      </c>
      <c r="P12" s="22" t="s">
        <v>366</v>
      </c>
      <c r="Q12" s="117">
        <v>173</v>
      </c>
    </row>
    <row r="13" spans="1:18" x14ac:dyDescent="0.2">
      <c r="C13">
        <f t="shared" ref="C13:C37" si="1">1517.5-B13</f>
        <v>1517.5</v>
      </c>
      <c r="L13" s="115">
        <v>43239</v>
      </c>
      <c r="M13" t="s">
        <v>367</v>
      </c>
      <c r="N13" s="118">
        <v>116</v>
      </c>
      <c r="O13" s="115">
        <v>45893</v>
      </c>
      <c r="P13" s="22" t="s">
        <v>346</v>
      </c>
      <c r="Q13" s="117">
        <v>161</v>
      </c>
    </row>
    <row r="14" spans="1:18" x14ac:dyDescent="0.2">
      <c r="C14">
        <f t="shared" si="1"/>
        <v>1517.5</v>
      </c>
      <c r="L14" s="115">
        <v>43238</v>
      </c>
      <c r="M14" t="s">
        <v>368</v>
      </c>
      <c r="N14" s="118">
        <v>125</v>
      </c>
      <c r="O14" s="115">
        <v>45892</v>
      </c>
      <c r="P14" s="22" t="s">
        <v>369</v>
      </c>
      <c r="Q14" s="117">
        <v>168</v>
      </c>
    </row>
    <row r="15" spans="1:18" x14ac:dyDescent="0.2">
      <c r="C15">
        <f t="shared" si="1"/>
        <v>1517.5</v>
      </c>
      <c r="L15" s="115">
        <v>43234</v>
      </c>
      <c r="M15" t="s">
        <v>344</v>
      </c>
      <c r="N15" s="116">
        <v>110</v>
      </c>
      <c r="O15" s="115">
        <v>45879</v>
      </c>
      <c r="P15" s="22" t="s">
        <v>370</v>
      </c>
      <c r="Q15" s="117">
        <v>160</v>
      </c>
    </row>
    <row r="16" spans="1:18" x14ac:dyDescent="0.2">
      <c r="C16">
        <f t="shared" si="1"/>
        <v>1517.5</v>
      </c>
      <c r="O16" s="115">
        <v>45878</v>
      </c>
      <c r="P16" s="22" t="s">
        <v>371</v>
      </c>
      <c r="Q16" s="117">
        <v>155</v>
      </c>
    </row>
    <row r="17" spans="3:17" x14ac:dyDescent="0.2">
      <c r="C17">
        <f t="shared" si="1"/>
        <v>1517.5</v>
      </c>
      <c r="O17" s="115">
        <v>45865</v>
      </c>
      <c r="P17" s="22" t="s">
        <v>372</v>
      </c>
      <c r="Q17" s="117">
        <v>158</v>
      </c>
    </row>
    <row r="18" spans="3:17" x14ac:dyDescent="0.2">
      <c r="C18">
        <f t="shared" si="1"/>
        <v>1517.5</v>
      </c>
      <c r="O18" s="115">
        <v>45863</v>
      </c>
      <c r="P18" s="22" t="s">
        <v>373</v>
      </c>
      <c r="Q18" s="117">
        <v>168</v>
      </c>
    </row>
    <row r="19" spans="3:17" x14ac:dyDescent="0.2">
      <c r="C19">
        <f t="shared" si="1"/>
        <v>1517.5</v>
      </c>
      <c r="O19" s="115">
        <v>45848</v>
      </c>
      <c r="P19" s="22" t="s">
        <v>361</v>
      </c>
      <c r="Q19" s="117">
        <v>151</v>
      </c>
    </row>
    <row r="20" spans="3:17" x14ac:dyDescent="0.2">
      <c r="C20">
        <f t="shared" si="1"/>
        <v>1517.5</v>
      </c>
      <c r="O20" s="115">
        <v>45848</v>
      </c>
      <c r="P20" s="22" t="s">
        <v>374</v>
      </c>
      <c r="Q20" s="117">
        <v>156</v>
      </c>
    </row>
    <row r="21" spans="3:17" x14ac:dyDescent="0.2">
      <c r="C21">
        <f t="shared" si="1"/>
        <v>1517.5</v>
      </c>
      <c r="O21" s="115">
        <v>45848</v>
      </c>
      <c r="P21" s="22" t="s">
        <v>375</v>
      </c>
      <c r="Q21" s="117">
        <v>168</v>
      </c>
    </row>
    <row r="22" spans="3:17" x14ac:dyDescent="0.2">
      <c r="C22">
        <f t="shared" si="1"/>
        <v>1517.5</v>
      </c>
      <c r="O22" s="115">
        <v>45847</v>
      </c>
      <c r="P22" s="22" t="s">
        <v>362</v>
      </c>
      <c r="Q22" s="117">
        <v>168</v>
      </c>
    </row>
    <row r="23" spans="3:17" x14ac:dyDescent="0.2">
      <c r="C23">
        <f t="shared" si="1"/>
        <v>1517.5</v>
      </c>
      <c r="O23" s="115">
        <v>45843</v>
      </c>
      <c r="P23" s="22" t="s">
        <v>376</v>
      </c>
      <c r="Q23" s="117">
        <v>161</v>
      </c>
    </row>
    <row r="24" spans="3:17" x14ac:dyDescent="0.2">
      <c r="C24">
        <f t="shared" si="1"/>
        <v>1517.5</v>
      </c>
      <c r="O24" s="115">
        <v>45841</v>
      </c>
      <c r="P24" s="22" t="s">
        <v>377</v>
      </c>
      <c r="Q24" s="117">
        <v>161</v>
      </c>
    </row>
    <row r="25" spans="3:17" x14ac:dyDescent="0.2">
      <c r="C25">
        <f t="shared" si="1"/>
        <v>1517.5</v>
      </c>
      <c r="O25" s="115">
        <v>45831</v>
      </c>
      <c r="P25" s="22" t="s">
        <v>378</v>
      </c>
      <c r="Q25" s="117">
        <v>164</v>
      </c>
    </row>
    <row r="26" spans="3:17" x14ac:dyDescent="0.2">
      <c r="C26">
        <f t="shared" si="1"/>
        <v>1517.5</v>
      </c>
      <c r="O26" s="115">
        <v>45829</v>
      </c>
      <c r="P26" s="22" t="s">
        <v>379</v>
      </c>
      <c r="Q26" s="117">
        <v>160</v>
      </c>
    </row>
    <row r="27" spans="3:17" x14ac:dyDescent="0.2">
      <c r="C27">
        <f t="shared" si="1"/>
        <v>1517.5</v>
      </c>
      <c r="O27" s="115">
        <v>45817</v>
      </c>
      <c r="P27" s="22" t="s">
        <v>380</v>
      </c>
      <c r="Q27" s="117">
        <v>170</v>
      </c>
    </row>
    <row r="28" spans="3:17" x14ac:dyDescent="0.2">
      <c r="C28">
        <f t="shared" si="1"/>
        <v>1517.5</v>
      </c>
      <c r="O28" s="115">
        <v>45817</v>
      </c>
      <c r="P28" s="22" t="s">
        <v>381</v>
      </c>
      <c r="Q28" s="117">
        <v>152</v>
      </c>
    </row>
    <row r="29" spans="3:17" x14ac:dyDescent="0.2">
      <c r="C29">
        <f t="shared" si="1"/>
        <v>1517.5</v>
      </c>
      <c r="O29" s="115">
        <v>45814</v>
      </c>
      <c r="P29" s="22" t="s">
        <v>382</v>
      </c>
      <c r="Q29" s="117">
        <v>145</v>
      </c>
    </row>
    <row r="30" spans="3:17" x14ac:dyDescent="0.2">
      <c r="C30">
        <f t="shared" si="1"/>
        <v>1517.5</v>
      </c>
      <c r="O30" s="115">
        <v>45814</v>
      </c>
      <c r="P30" s="22" t="s">
        <v>352</v>
      </c>
      <c r="Q30" s="117">
        <v>142</v>
      </c>
    </row>
    <row r="31" spans="3:17" x14ac:dyDescent="0.2">
      <c r="C31">
        <f t="shared" si="1"/>
        <v>1517.5</v>
      </c>
      <c r="O31" s="115">
        <v>45703</v>
      </c>
      <c r="P31" s="22" t="s">
        <v>361</v>
      </c>
      <c r="Q31" s="117">
        <v>141</v>
      </c>
    </row>
    <row r="32" spans="3:17" x14ac:dyDescent="0.2">
      <c r="C32">
        <f t="shared" si="1"/>
        <v>1517.5</v>
      </c>
      <c r="O32" s="115">
        <v>45703</v>
      </c>
      <c r="P32" s="22" t="s">
        <v>362</v>
      </c>
      <c r="Q32" s="117">
        <v>170</v>
      </c>
    </row>
    <row r="33" spans="3:17" x14ac:dyDescent="0.2">
      <c r="C33">
        <f t="shared" si="1"/>
        <v>1517.5</v>
      </c>
      <c r="O33" s="115">
        <v>45571</v>
      </c>
      <c r="P33" s="22" t="s">
        <v>370</v>
      </c>
      <c r="Q33" s="117">
        <v>179</v>
      </c>
    </row>
    <row r="34" spans="3:17" x14ac:dyDescent="0.2">
      <c r="C34">
        <f t="shared" si="1"/>
        <v>1517.5</v>
      </c>
      <c r="O34" s="115">
        <v>45570</v>
      </c>
      <c r="P34" s="22" t="s">
        <v>371</v>
      </c>
      <c r="Q34" s="117">
        <v>177</v>
      </c>
    </row>
    <row r="35" spans="3:17" x14ac:dyDescent="0.2">
      <c r="C35">
        <f t="shared" si="1"/>
        <v>1517.5</v>
      </c>
      <c r="O35" s="115">
        <v>45550</v>
      </c>
      <c r="P35" s="22" t="s">
        <v>370</v>
      </c>
      <c r="Q35" s="117">
        <v>153</v>
      </c>
    </row>
    <row r="36" spans="3:17" x14ac:dyDescent="0.2">
      <c r="C36">
        <f t="shared" si="1"/>
        <v>1517.5</v>
      </c>
      <c r="O36" s="115">
        <v>45548</v>
      </c>
      <c r="P36" s="22" t="s">
        <v>371</v>
      </c>
      <c r="Q36" s="117">
        <v>193</v>
      </c>
    </row>
    <row r="37" spans="3:17" x14ac:dyDescent="0.2">
      <c r="C37">
        <f t="shared" si="1"/>
        <v>1517.5</v>
      </c>
      <c r="O37" s="115">
        <v>45536</v>
      </c>
      <c r="P37" s="22" t="s">
        <v>364</v>
      </c>
      <c r="Q37" s="117">
        <v>165</v>
      </c>
    </row>
    <row r="38" spans="3:17" x14ac:dyDescent="0.2">
      <c r="C38">
        <f>1564-B38</f>
        <v>1564</v>
      </c>
      <c r="O38" s="115">
        <v>45535</v>
      </c>
      <c r="P38" s="22" t="s">
        <v>366</v>
      </c>
      <c r="Q38" s="117">
        <v>160</v>
      </c>
    </row>
    <row r="39" spans="3:17" x14ac:dyDescent="0.2">
      <c r="C39">
        <f t="shared" ref="C39:C48" si="2">1564-B39</f>
        <v>1564</v>
      </c>
      <c r="O39" s="115">
        <v>45527</v>
      </c>
      <c r="P39" t="s">
        <v>383</v>
      </c>
      <c r="Q39" s="117">
        <v>166</v>
      </c>
    </row>
    <row r="40" spans="3:17" x14ac:dyDescent="0.2">
      <c r="C40">
        <f t="shared" si="2"/>
        <v>1564</v>
      </c>
      <c r="O40" s="115">
        <v>45527</v>
      </c>
      <c r="P40" t="s">
        <v>384</v>
      </c>
      <c r="Q40" s="117">
        <v>152</v>
      </c>
    </row>
    <row r="41" spans="3:17" x14ac:dyDescent="0.2">
      <c r="C41">
        <f t="shared" si="2"/>
        <v>1564</v>
      </c>
      <c r="O41" s="115">
        <v>45516</v>
      </c>
      <c r="P41" t="s">
        <v>346</v>
      </c>
      <c r="Q41" s="117">
        <v>166</v>
      </c>
    </row>
    <row r="42" spans="3:17" x14ac:dyDescent="0.2">
      <c r="C42">
        <f t="shared" si="2"/>
        <v>1564</v>
      </c>
      <c r="O42" s="115">
        <v>45516</v>
      </c>
      <c r="P42" t="s">
        <v>369</v>
      </c>
      <c r="Q42" s="117">
        <v>158</v>
      </c>
    </row>
    <row r="43" spans="3:17" x14ac:dyDescent="0.2">
      <c r="C43">
        <f t="shared" si="2"/>
        <v>1564</v>
      </c>
      <c r="O43" s="115">
        <v>45515</v>
      </c>
      <c r="P43" t="s">
        <v>383</v>
      </c>
      <c r="Q43" s="117">
        <v>173</v>
      </c>
    </row>
    <row r="44" spans="3:17" x14ac:dyDescent="0.2">
      <c r="C44">
        <f t="shared" si="2"/>
        <v>1564</v>
      </c>
      <c r="O44" s="115">
        <v>45514</v>
      </c>
      <c r="P44" t="s">
        <v>384</v>
      </c>
      <c r="Q44" s="117">
        <v>167</v>
      </c>
    </row>
    <row r="45" spans="3:17" x14ac:dyDescent="0.2">
      <c r="C45">
        <f t="shared" si="2"/>
        <v>1564</v>
      </c>
      <c r="O45" s="115">
        <v>45497</v>
      </c>
      <c r="P45" t="s">
        <v>383</v>
      </c>
      <c r="Q45" s="117">
        <v>164</v>
      </c>
    </row>
    <row r="46" spans="3:17" x14ac:dyDescent="0.2">
      <c r="C46">
        <f t="shared" si="2"/>
        <v>1564</v>
      </c>
      <c r="O46" s="115">
        <v>45497</v>
      </c>
      <c r="P46" t="s">
        <v>384</v>
      </c>
      <c r="Q46" s="117">
        <v>165</v>
      </c>
    </row>
    <row r="47" spans="3:17" x14ac:dyDescent="0.2">
      <c r="C47">
        <f t="shared" si="2"/>
        <v>1564</v>
      </c>
      <c r="O47" s="115">
        <v>45491</v>
      </c>
      <c r="P47" t="s">
        <v>385</v>
      </c>
      <c r="Q47" s="117">
        <v>152</v>
      </c>
    </row>
    <row r="48" spans="3:17" x14ac:dyDescent="0.2">
      <c r="C48">
        <f t="shared" si="2"/>
        <v>1564</v>
      </c>
      <c r="O48" s="115">
        <v>45491</v>
      </c>
      <c r="P48" t="s">
        <v>386</v>
      </c>
      <c r="Q48" s="117">
        <v>153</v>
      </c>
    </row>
    <row r="49" spans="15:17" x14ac:dyDescent="0.2">
      <c r="O49" s="115">
        <v>45487</v>
      </c>
      <c r="P49" t="s">
        <v>387</v>
      </c>
      <c r="Q49" s="117">
        <v>141</v>
      </c>
    </row>
    <row r="50" spans="15:17" x14ac:dyDescent="0.2">
      <c r="O50" s="115">
        <v>45487</v>
      </c>
      <c r="P50" t="s">
        <v>388</v>
      </c>
      <c r="Q50" s="117">
        <v>161</v>
      </c>
    </row>
    <row r="51" spans="15:17" x14ac:dyDescent="0.2">
      <c r="O51" s="115">
        <v>45477</v>
      </c>
      <c r="P51" t="s">
        <v>346</v>
      </c>
      <c r="Q51" s="117">
        <v>161</v>
      </c>
    </row>
    <row r="52" spans="15:17" x14ac:dyDescent="0.2">
      <c r="O52" s="115">
        <v>45476</v>
      </c>
      <c r="P52" t="s">
        <v>389</v>
      </c>
      <c r="Q52" s="117">
        <v>146</v>
      </c>
    </row>
    <row r="53" spans="15:17" x14ac:dyDescent="0.2">
      <c r="O53" s="115">
        <v>45108</v>
      </c>
      <c r="P53" t="s">
        <v>390</v>
      </c>
      <c r="Q53" s="117">
        <v>169</v>
      </c>
    </row>
    <row r="54" spans="15:17" x14ac:dyDescent="0.2">
      <c r="O54" s="115">
        <v>45108</v>
      </c>
      <c r="P54" t="s">
        <v>391</v>
      </c>
      <c r="Q54" s="117">
        <v>153</v>
      </c>
    </row>
    <row r="55" spans="15:17" x14ac:dyDescent="0.2">
      <c r="O55" s="115">
        <v>45105</v>
      </c>
      <c r="P55" t="s">
        <v>371</v>
      </c>
      <c r="Q55" s="117">
        <v>155</v>
      </c>
    </row>
    <row r="56" spans="15:17" x14ac:dyDescent="0.2">
      <c r="O56" s="115">
        <v>45466</v>
      </c>
      <c r="P56" t="s">
        <v>361</v>
      </c>
      <c r="Q56" s="117">
        <v>145</v>
      </c>
    </row>
    <row r="57" spans="15:17" x14ac:dyDescent="0.2">
      <c r="O57" s="115">
        <v>45466</v>
      </c>
      <c r="P57" t="s">
        <v>362</v>
      </c>
      <c r="Q57" s="117">
        <v>167</v>
      </c>
    </row>
    <row r="58" spans="15:17" x14ac:dyDescent="0.2">
      <c r="O58" s="115">
        <v>45162</v>
      </c>
      <c r="P58" t="s">
        <v>392</v>
      </c>
      <c r="Q58" s="117">
        <v>161</v>
      </c>
    </row>
    <row r="59" spans="15:17" x14ac:dyDescent="0.2">
      <c r="O59" s="115">
        <v>45162</v>
      </c>
      <c r="P59" t="s">
        <v>393</v>
      </c>
      <c r="Q59" s="117">
        <v>167</v>
      </c>
    </row>
    <row r="60" spans="15:17" x14ac:dyDescent="0.2">
      <c r="O60" s="115">
        <v>45162</v>
      </c>
      <c r="P60" t="s">
        <v>394</v>
      </c>
      <c r="Q60" s="117">
        <v>173</v>
      </c>
    </row>
    <row r="61" spans="15:17" x14ac:dyDescent="0.2">
      <c r="O61" s="115">
        <v>45157</v>
      </c>
      <c r="P61" t="s">
        <v>395</v>
      </c>
      <c r="Q61" s="117">
        <v>153</v>
      </c>
    </row>
    <row r="62" spans="15:17" x14ac:dyDescent="0.2">
      <c r="O62" s="115">
        <v>45156</v>
      </c>
      <c r="P62" t="s">
        <v>396</v>
      </c>
      <c r="Q62" s="117">
        <v>165</v>
      </c>
    </row>
    <row r="63" spans="15:17" x14ac:dyDescent="0.2">
      <c r="O63" s="115">
        <v>45155</v>
      </c>
      <c r="P63" t="s">
        <v>397</v>
      </c>
      <c r="Q63" s="117">
        <v>160</v>
      </c>
    </row>
    <row r="64" spans="15:17" x14ac:dyDescent="0.2">
      <c r="O64" s="115">
        <v>45155</v>
      </c>
      <c r="P64" t="s">
        <v>398</v>
      </c>
      <c r="Q64" s="117">
        <v>139</v>
      </c>
    </row>
    <row r="65" spans="15:17" x14ac:dyDescent="0.2">
      <c r="O65" s="115">
        <v>45149</v>
      </c>
      <c r="P65" t="s">
        <v>361</v>
      </c>
      <c r="Q65" s="117">
        <v>165</v>
      </c>
    </row>
    <row r="66" spans="15:17" x14ac:dyDescent="0.2">
      <c r="O66" s="115">
        <v>45148</v>
      </c>
      <c r="P66" t="s">
        <v>362</v>
      </c>
      <c r="Q66" s="117">
        <v>165</v>
      </c>
    </row>
    <row r="67" spans="15:17" x14ac:dyDescent="0.2">
      <c r="O67" s="115">
        <v>45134</v>
      </c>
      <c r="P67" t="s">
        <v>364</v>
      </c>
      <c r="Q67" s="117">
        <v>140</v>
      </c>
    </row>
    <row r="68" spans="15:17" x14ac:dyDescent="0.2">
      <c r="O68" s="115">
        <v>45132</v>
      </c>
      <c r="P68" t="s">
        <v>399</v>
      </c>
      <c r="Q68" s="117">
        <v>141</v>
      </c>
    </row>
    <row r="69" spans="15:17" x14ac:dyDescent="0.2">
      <c r="O69" s="115">
        <v>45127</v>
      </c>
      <c r="P69" t="s">
        <v>400</v>
      </c>
      <c r="Q69" s="117">
        <v>160</v>
      </c>
    </row>
    <row r="70" spans="15:17" x14ac:dyDescent="0.2">
      <c r="O70" s="115">
        <v>45125</v>
      </c>
      <c r="P70" t="s">
        <v>401</v>
      </c>
      <c r="Q70" s="117">
        <v>139</v>
      </c>
    </row>
    <row r="71" spans="15:17" x14ac:dyDescent="0.2">
      <c r="O71" s="115">
        <v>45123</v>
      </c>
      <c r="P71" t="s">
        <v>402</v>
      </c>
      <c r="Q71" s="117">
        <v>181</v>
      </c>
    </row>
    <row r="72" spans="15:17" x14ac:dyDescent="0.2">
      <c r="O72" s="115">
        <v>45116</v>
      </c>
      <c r="P72" t="s">
        <v>376</v>
      </c>
      <c r="Q72" s="117">
        <v>177</v>
      </c>
    </row>
    <row r="73" spans="15:17" x14ac:dyDescent="0.2">
      <c r="O73" s="115">
        <v>45113</v>
      </c>
      <c r="P73" t="s">
        <v>377</v>
      </c>
      <c r="Q73" s="117">
        <v>160</v>
      </c>
    </row>
    <row r="74" spans="15:17" x14ac:dyDescent="0.2">
      <c r="O74" s="115">
        <v>45066</v>
      </c>
      <c r="P74" t="s">
        <v>380</v>
      </c>
      <c r="Q74" s="117">
        <v>162</v>
      </c>
    </row>
    <row r="75" spans="15:17" x14ac:dyDescent="0.2">
      <c r="O75" s="115">
        <v>45066</v>
      </c>
      <c r="P75" t="s">
        <v>381</v>
      </c>
      <c r="Q75" s="117">
        <v>164</v>
      </c>
    </row>
    <row r="76" spans="15:17" x14ac:dyDescent="0.2">
      <c r="O76" s="115">
        <v>45063</v>
      </c>
      <c r="P76" t="s">
        <v>403</v>
      </c>
      <c r="Q76" s="117">
        <v>173</v>
      </c>
    </row>
    <row r="77" spans="15:17" x14ac:dyDescent="0.2">
      <c r="O77" s="115">
        <v>45063</v>
      </c>
      <c r="P77" t="s">
        <v>404</v>
      </c>
      <c r="Q77" s="117">
        <v>187</v>
      </c>
    </row>
    <row r="78" spans="15:17" x14ac:dyDescent="0.2">
      <c r="O78" s="115">
        <v>45047</v>
      </c>
      <c r="P78" t="s">
        <v>405</v>
      </c>
      <c r="Q78" s="117">
        <v>158</v>
      </c>
    </row>
    <row r="79" spans="15:17" x14ac:dyDescent="0.2">
      <c r="O79" s="115">
        <v>45045</v>
      </c>
      <c r="P79" t="s">
        <v>406</v>
      </c>
      <c r="Q79" s="117">
        <v>155</v>
      </c>
    </row>
    <row r="80" spans="15:17" x14ac:dyDescent="0.2">
      <c r="O80" s="115">
        <v>45032</v>
      </c>
      <c r="P80" t="s">
        <v>370</v>
      </c>
      <c r="Q80" s="117">
        <v>155</v>
      </c>
    </row>
    <row r="81" spans="15:17" x14ac:dyDescent="0.2">
      <c r="O81" s="115">
        <v>45030</v>
      </c>
      <c r="P81" t="s">
        <v>407</v>
      </c>
      <c r="Q81" s="117">
        <v>141</v>
      </c>
    </row>
    <row r="82" spans="15:17" x14ac:dyDescent="0.2">
      <c r="O82" s="115">
        <v>45027</v>
      </c>
      <c r="P82" t="s">
        <v>408</v>
      </c>
      <c r="Q82" s="117">
        <v>170</v>
      </c>
    </row>
    <row r="83" spans="15:17" x14ac:dyDescent="0.2">
      <c r="O83" s="115">
        <v>45025</v>
      </c>
      <c r="P83" t="s">
        <v>371</v>
      </c>
      <c r="Q83" s="117">
        <v>175</v>
      </c>
    </row>
    <row r="84" spans="15:17" x14ac:dyDescent="0.2">
      <c r="O84" s="115">
        <v>44867</v>
      </c>
      <c r="P84" t="s">
        <v>369</v>
      </c>
      <c r="Q84" s="117">
        <v>157</v>
      </c>
    </row>
    <row r="85" spans="15:17" x14ac:dyDescent="0.2">
      <c r="O85" s="115">
        <v>44867</v>
      </c>
      <c r="P85" t="s">
        <v>346</v>
      </c>
      <c r="Q85" s="117">
        <v>175</v>
      </c>
    </row>
    <row r="86" spans="15:17" x14ac:dyDescent="0.2">
      <c r="O86" s="115">
        <v>44827</v>
      </c>
      <c r="P86" t="s">
        <v>361</v>
      </c>
      <c r="Q86" s="117">
        <v>170</v>
      </c>
    </row>
    <row r="87" spans="15:17" x14ac:dyDescent="0.2">
      <c r="O87" s="115">
        <v>44827</v>
      </c>
      <c r="P87" t="s">
        <v>409</v>
      </c>
      <c r="Q87" s="117">
        <v>174</v>
      </c>
    </row>
    <row r="88" spans="15:17" x14ac:dyDescent="0.2">
      <c r="O88" s="115">
        <v>44826</v>
      </c>
      <c r="P88" t="s">
        <v>410</v>
      </c>
      <c r="Q88" s="117">
        <v>164</v>
      </c>
    </row>
    <row r="89" spans="15:17" x14ac:dyDescent="0.2">
      <c r="O89" s="115">
        <v>44826</v>
      </c>
      <c r="P89" t="s">
        <v>362</v>
      </c>
      <c r="Q89" s="117">
        <v>164</v>
      </c>
    </row>
    <row r="90" spans="15:17" x14ac:dyDescent="0.2">
      <c r="O90" s="115">
        <v>44809</v>
      </c>
      <c r="P90" t="s">
        <v>411</v>
      </c>
      <c r="Q90" s="117">
        <v>175</v>
      </c>
    </row>
    <row r="91" spans="15:17" x14ac:dyDescent="0.2">
      <c r="O91" s="115">
        <v>44806</v>
      </c>
      <c r="P91" t="s">
        <v>412</v>
      </c>
      <c r="Q91" s="117">
        <v>166</v>
      </c>
    </row>
    <row r="92" spans="15:17" x14ac:dyDescent="0.2">
      <c r="O92" s="115">
        <v>44793</v>
      </c>
      <c r="P92" t="s">
        <v>351</v>
      </c>
      <c r="Q92" s="117">
        <v>182</v>
      </c>
    </row>
    <row r="93" spans="15:17" x14ac:dyDescent="0.2">
      <c r="O93" s="115">
        <v>44793</v>
      </c>
      <c r="P93" t="s">
        <v>360</v>
      </c>
      <c r="Q93" s="117">
        <v>157</v>
      </c>
    </row>
    <row r="94" spans="15:17" x14ac:dyDescent="0.2">
      <c r="O94" s="115">
        <v>44788</v>
      </c>
      <c r="P94" t="s">
        <v>370</v>
      </c>
      <c r="Q94" s="117">
        <v>174</v>
      </c>
    </row>
    <row r="95" spans="15:17" x14ac:dyDescent="0.2">
      <c r="O95" s="115">
        <v>44785</v>
      </c>
      <c r="P95" t="s">
        <v>371</v>
      </c>
      <c r="Q95" s="117">
        <v>173</v>
      </c>
    </row>
    <row r="96" spans="15:17" x14ac:dyDescent="0.2">
      <c r="O96" s="115">
        <v>44780</v>
      </c>
      <c r="P96" t="s">
        <v>413</v>
      </c>
      <c r="Q96">
        <v>133</v>
      </c>
    </row>
    <row r="97" spans="15:17" x14ac:dyDescent="0.2">
      <c r="O97" s="115">
        <v>44780</v>
      </c>
      <c r="P97" t="s">
        <v>414</v>
      </c>
      <c r="Q97">
        <v>136</v>
      </c>
    </row>
    <row r="98" spans="15:17" x14ac:dyDescent="0.2">
      <c r="O98" s="115">
        <v>44776</v>
      </c>
      <c r="P98" t="s">
        <v>351</v>
      </c>
      <c r="Q98" s="117">
        <v>186</v>
      </c>
    </row>
    <row r="99" spans="15:17" x14ac:dyDescent="0.2">
      <c r="O99" s="115">
        <v>44776</v>
      </c>
      <c r="P99" t="s">
        <v>360</v>
      </c>
      <c r="Q99" s="117">
        <v>156</v>
      </c>
    </row>
    <row r="100" spans="15:17" x14ac:dyDescent="0.2">
      <c r="O100" s="115">
        <v>44771</v>
      </c>
      <c r="P100" t="s">
        <v>415</v>
      </c>
      <c r="Q100" s="117">
        <v>154</v>
      </c>
    </row>
    <row r="101" spans="15:17" x14ac:dyDescent="0.2">
      <c r="O101" s="115">
        <v>44771</v>
      </c>
      <c r="P101" t="s">
        <v>416</v>
      </c>
      <c r="Q101" s="117">
        <v>155</v>
      </c>
    </row>
    <row r="102" spans="15:17" x14ac:dyDescent="0.2">
      <c r="O102" s="115">
        <v>44766</v>
      </c>
      <c r="P102" t="s">
        <v>417</v>
      </c>
      <c r="Q102">
        <v>142</v>
      </c>
    </row>
    <row r="103" spans="15:17" x14ac:dyDescent="0.2">
      <c r="O103" s="115">
        <v>44766</v>
      </c>
      <c r="P103" t="s">
        <v>418</v>
      </c>
      <c r="Q103" s="117">
        <v>165</v>
      </c>
    </row>
    <row r="104" spans="15:17" x14ac:dyDescent="0.2">
      <c r="O104" s="115">
        <v>44764</v>
      </c>
      <c r="P104" t="s">
        <v>419</v>
      </c>
      <c r="Q104">
        <v>144</v>
      </c>
    </row>
    <row r="105" spans="15:17" x14ac:dyDescent="0.2">
      <c r="O105" s="115">
        <v>44761</v>
      </c>
      <c r="P105" t="s">
        <v>420</v>
      </c>
      <c r="Q105" s="117">
        <v>153</v>
      </c>
    </row>
    <row r="106" spans="15:17" x14ac:dyDescent="0.2">
      <c r="O106" s="115">
        <v>44761</v>
      </c>
      <c r="P106" t="s">
        <v>421</v>
      </c>
      <c r="Q106">
        <v>123</v>
      </c>
    </row>
    <row r="107" spans="15:17" x14ac:dyDescent="0.2">
      <c r="O107" s="115">
        <v>44752</v>
      </c>
      <c r="P107" t="s">
        <v>376</v>
      </c>
      <c r="Q107" s="117">
        <v>149</v>
      </c>
    </row>
    <row r="108" spans="15:17" x14ac:dyDescent="0.2">
      <c r="O108" s="115">
        <v>44750</v>
      </c>
      <c r="P108" t="s">
        <v>377</v>
      </c>
      <c r="Q108" s="117">
        <v>188</v>
      </c>
    </row>
    <row r="109" spans="15:17" x14ac:dyDescent="0.2">
      <c r="O109" s="115">
        <v>44730</v>
      </c>
      <c r="P109" t="s">
        <v>422</v>
      </c>
      <c r="Q109" s="117">
        <v>168</v>
      </c>
    </row>
    <row r="110" spans="15:17" x14ac:dyDescent="0.2">
      <c r="O110" s="115">
        <v>44728</v>
      </c>
      <c r="P110" t="s">
        <v>423</v>
      </c>
      <c r="Q110" s="117">
        <v>188</v>
      </c>
    </row>
    <row r="111" spans="15:17" x14ac:dyDescent="0.2">
      <c r="O111" s="115">
        <v>44724</v>
      </c>
      <c r="P111" t="s">
        <v>413</v>
      </c>
      <c r="Q111">
        <v>146</v>
      </c>
    </row>
    <row r="112" spans="15:17" x14ac:dyDescent="0.2">
      <c r="O112" s="115">
        <v>44724</v>
      </c>
      <c r="P112" t="s">
        <v>414</v>
      </c>
      <c r="Q112">
        <v>144</v>
      </c>
    </row>
    <row r="113" spans="15:17" x14ac:dyDescent="0.2">
      <c r="O113" s="115">
        <v>44698</v>
      </c>
      <c r="P113" t="s">
        <v>424</v>
      </c>
      <c r="Q113" s="117">
        <v>161</v>
      </c>
    </row>
    <row r="114" spans="15:17" x14ac:dyDescent="0.2">
      <c r="O114" s="115">
        <v>44696</v>
      </c>
      <c r="P114" t="s">
        <v>425</v>
      </c>
      <c r="Q114" s="117">
        <v>169</v>
      </c>
    </row>
    <row r="115" spans="15:17" x14ac:dyDescent="0.2">
      <c r="O115" s="115">
        <v>44695</v>
      </c>
      <c r="P115" t="s">
        <v>383</v>
      </c>
      <c r="Q115" s="117">
        <v>162</v>
      </c>
    </row>
    <row r="116" spans="15:17" x14ac:dyDescent="0.2">
      <c r="O116" s="115">
        <v>44695</v>
      </c>
      <c r="P116" t="s">
        <v>384</v>
      </c>
      <c r="Q116" s="117">
        <v>165</v>
      </c>
    </row>
    <row r="117" spans="15:17" x14ac:dyDescent="0.2">
      <c r="O117" s="115">
        <v>44690</v>
      </c>
      <c r="P117" t="s">
        <v>426</v>
      </c>
      <c r="Q117" s="117">
        <v>163</v>
      </c>
    </row>
    <row r="118" spans="15:17" x14ac:dyDescent="0.2">
      <c r="O118" s="115">
        <v>44688</v>
      </c>
      <c r="P118" t="s">
        <v>427</v>
      </c>
      <c r="Q118" s="117">
        <v>161</v>
      </c>
    </row>
    <row r="119" spans="15:17" x14ac:dyDescent="0.2">
      <c r="O119" s="115">
        <v>44682</v>
      </c>
      <c r="P119" t="s">
        <v>428</v>
      </c>
      <c r="Q119">
        <v>114</v>
      </c>
    </row>
    <row r="120" spans="15:17" x14ac:dyDescent="0.2">
      <c r="O120" s="115">
        <v>44682</v>
      </c>
      <c r="P120" t="s">
        <v>429</v>
      </c>
      <c r="Q120">
        <v>138</v>
      </c>
    </row>
    <row r="121" spans="15:17" x14ac:dyDescent="0.2">
      <c r="O121" s="115">
        <v>44680</v>
      </c>
      <c r="P121" t="s">
        <v>430</v>
      </c>
      <c r="Q121" s="117">
        <v>171</v>
      </c>
    </row>
    <row r="122" spans="15:17" x14ac:dyDescent="0.2">
      <c r="O122" s="115">
        <v>44680</v>
      </c>
      <c r="P122" t="s">
        <v>431</v>
      </c>
      <c r="Q122" s="117">
        <v>176</v>
      </c>
    </row>
    <row r="123" spans="15:17" x14ac:dyDescent="0.2">
      <c r="O123" s="115">
        <v>44669</v>
      </c>
      <c r="P123" t="s">
        <v>417</v>
      </c>
      <c r="Q123">
        <v>134</v>
      </c>
    </row>
    <row r="124" spans="15:17" x14ac:dyDescent="0.2">
      <c r="O124" s="115">
        <v>44669</v>
      </c>
      <c r="P124" t="s">
        <v>421</v>
      </c>
      <c r="Q124">
        <v>137</v>
      </c>
    </row>
    <row r="125" spans="15:17" x14ac:dyDescent="0.2">
      <c r="O125" s="115">
        <v>44662</v>
      </c>
      <c r="P125" t="s">
        <v>432</v>
      </c>
      <c r="Q125" s="117">
        <v>148</v>
      </c>
    </row>
    <row r="126" spans="15:17" x14ac:dyDescent="0.2">
      <c r="O126" s="115">
        <v>44662</v>
      </c>
      <c r="P126" t="s">
        <v>433</v>
      </c>
      <c r="Q126" s="117">
        <v>163</v>
      </c>
    </row>
    <row r="127" spans="15:17" x14ac:dyDescent="0.2">
      <c r="O127" s="115">
        <v>44648</v>
      </c>
      <c r="P127" t="s">
        <v>424</v>
      </c>
      <c r="Q127" s="117">
        <v>156</v>
      </c>
    </row>
    <row r="128" spans="15:17" x14ac:dyDescent="0.2">
      <c r="O128" s="115">
        <v>44647</v>
      </c>
      <c r="P128" t="s">
        <v>425</v>
      </c>
      <c r="Q128" s="117">
        <v>159</v>
      </c>
    </row>
    <row r="129" spans="15:17" x14ac:dyDescent="0.2">
      <c r="O129" s="115">
        <v>44646</v>
      </c>
      <c r="P129" t="s">
        <v>344</v>
      </c>
      <c r="Q129">
        <v>123</v>
      </c>
    </row>
    <row r="130" spans="15:17" x14ac:dyDescent="0.2">
      <c r="O130" s="115">
        <v>44642</v>
      </c>
      <c r="P130" t="s">
        <v>345</v>
      </c>
      <c r="Q130">
        <v>119</v>
      </c>
    </row>
    <row r="131" spans="15:17" x14ac:dyDescent="0.2">
      <c r="O131" s="115">
        <v>44642</v>
      </c>
      <c r="P131" t="s">
        <v>348</v>
      </c>
      <c r="Q131">
        <v>116</v>
      </c>
    </row>
    <row r="132" spans="15:17" x14ac:dyDescent="0.2">
      <c r="O132" s="115">
        <v>44639</v>
      </c>
      <c r="P132" t="s">
        <v>345</v>
      </c>
      <c r="Q132">
        <v>123</v>
      </c>
    </row>
    <row r="133" spans="15:17" x14ac:dyDescent="0.2">
      <c r="O133" s="115">
        <v>44639</v>
      </c>
      <c r="P133" t="s">
        <v>348</v>
      </c>
      <c r="Q133">
        <v>122</v>
      </c>
    </row>
    <row r="134" spans="15:17" x14ac:dyDescent="0.2">
      <c r="O134" s="115">
        <v>44631</v>
      </c>
      <c r="P134" t="s">
        <v>344</v>
      </c>
      <c r="Q134">
        <v>138</v>
      </c>
    </row>
    <row r="135" spans="15:17" x14ac:dyDescent="0.2">
      <c r="O135" s="115">
        <v>44629</v>
      </c>
      <c r="P135" t="s">
        <v>434</v>
      </c>
      <c r="Q135">
        <v>138</v>
      </c>
    </row>
    <row r="136" spans="15:17" x14ac:dyDescent="0.2">
      <c r="O136" s="115">
        <v>44629</v>
      </c>
      <c r="P136" t="s">
        <v>344</v>
      </c>
      <c r="Q136">
        <v>133</v>
      </c>
    </row>
    <row r="137" spans="15:17" x14ac:dyDescent="0.2">
      <c r="O137" s="115">
        <v>44626</v>
      </c>
      <c r="P137" t="s">
        <v>435</v>
      </c>
      <c r="Q137" s="117">
        <v>152</v>
      </c>
    </row>
    <row r="138" spans="15:17" x14ac:dyDescent="0.2">
      <c r="O138" s="115">
        <v>44626</v>
      </c>
      <c r="P138" t="s">
        <v>436</v>
      </c>
      <c r="Q138" s="117">
        <v>154</v>
      </c>
    </row>
    <row r="139" spans="15:17" x14ac:dyDescent="0.2">
      <c r="O139" s="115">
        <v>44623</v>
      </c>
      <c r="P139" t="s">
        <v>437</v>
      </c>
      <c r="Q139">
        <v>142</v>
      </c>
    </row>
    <row r="140" spans="15:17" x14ac:dyDescent="0.2">
      <c r="O140" s="115">
        <v>44619</v>
      </c>
      <c r="P140" t="s">
        <v>438</v>
      </c>
      <c r="Q140" s="117">
        <v>152</v>
      </c>
    </row>
    <row r="141" spans="15:17" x14ac:dyDescent="0.2">
      <c r="O141" s="115">
        <v>44619</v>
      </c>
      <c r="P141" t="s">
        <v>439</v>
      </c>
      <c r="Q141" s="117">
        <v>143</v>
      </c>
    </row>
    <row r="142" spans="15:17" x14ac:dyDescent="0.2">
      <c r="O142" s="115">
        <v>44618</v>
      </c>
      <c r="P142" t="s">
        <v>344</v>
      </c>
      <c r="Q142">
        <v>131</v>
      </c>
    </row>
    <row r="143" spans="15:17" x14ac:dyDescent="0.2">
      <c r="O143" s="115">
        <v>44618</v>
      </c>
      <c r="P143" t="s">
        <v>344</v>
      </c>
      <c r="Q143">
        <v>134</v>
      </c>
    </row>
    <row r="144" spans="15:17" x14ac:dyDescent="0.2">
      <c r="O144" s="115">
        <v>44615</v>
      </c>
      <c r="P144" t="s">
        <v>434</v>
      </c>
      <c r="Q144">
        <v>132</v>
      </c>
    </row>
    <row r="145" spans="15:17" x14ac:dyDescent="0.2">
      <c r="O145" s="115">
        <v>44605</v>
      </c>
      <c r="P145" t="s">
        <v>345</v>
      </c>
      <c r="Q145">
        <v>131</v>
      </c>
    </row>
    <row r="146" spans="15:17" x14ac:dyDescent="0.2">
      <c r="O146" s="115">
        <v>44605</v>
      </c>
      <c r="P146" t="s">
        <v>348</v>
      </c>
      <c r="Q146">
        <v>126</v>
      </c>
    </row>
    <row r="147" spans="15:17" x14ac:dyDescent="0.2">
      <c r="O147" s="115">
        <v>44604</v>
      </c>
      <c r="P147" t="s">
        <v>434</v>
      </c>
      <c r="Q147">
        <v>115</v>
      </c>
    </row>
    <row r="148" spans="15:17" x14ac:dyDescent="0.2">
      <c r="O148" s="115">
        <v>44605</v>
      </c>
      <c r="P148" t="s">
        <v>345</v>
      </c>
      <c r="Q148">
        <v>130</v>
      </c>
    </row>
    <row r="149" spans="15:17" x14ac:dyDescent="0.2">
      <c r="O149" s="115">
        <v>44605</v>
      </c>
      <c r="P149" t="s">
        <v>348</v>
      </c>
      <c r="Q149">
        <v>136</v>
      </c>
    </row>
    <row r="150" spans="15:17" x14ac:dyDescent="0.2">
      <c r="O150" s="115">
        <v>43400</v>
      </c>
      <c r="P150" t="s">
        <v>440</v>
      </c>
      <c r="Q150" s="117">
        <v>166</v>
      </c>
    </row>
    <row r="151" spans="15:17" x14ac:dyDescent="0.2">
      <c r="O151" s="115">
        <v>43403</v>
      </c>
      <c r="P151" t="s">
        <v>441</v>
      </c>
      <c r="Q151" s="117">
        <v>114</v>
      </c>
    </row>
  </sheetData>
  <mergeCells count="4">
    <mergeCell ref="F2:H2"/>
    <mergeCell ref="I2:K2"/>
    <mergeCell ref="L2:N2"/>
    <mergeCell ref="O2:Q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AA5870-E904-9E4C-AEA8-469B57F8E8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Dashboard</vt:lpstr>
      <vt:lpstr>Expenses</vt:lpstr>
      <vt:lpstr>AVGAS</vt:lpstr>
      <vt:lpstr>Flights</vt:lpstr>
      <vt:lpstr>Contribs</vt:lpstr>
      <vt:lpstr>Params</vt:lpstr>
      <vt:lpstr>Pivots</vt:lpstr>
      <vt:lpstr>Misc.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Vu Tien</dc:creator>
  <cp:lastModifiedBy>Khang Vu Tien</cp:lastModifiedBy>
  <cp:lastPrinted>2025-05-28T12:56:31Z</cp:lastPrinted>
  <dcterms:created xsi:type="dcterms:W3CDTF">2024-04-13T08:10:45Z</dcterms:created>
  <dcterms:modified xsi:type="dcterms:W3CDTF">2026-01-27T21:49:47Z</dcterms:modified>
</cp:coreProperties>
</file>